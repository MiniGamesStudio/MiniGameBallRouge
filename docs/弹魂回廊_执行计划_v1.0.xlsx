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说明" sheetId="1" state="visible" r:id="rId1"/>
    <sheet xmlns:r="http://schemas.openxmlformats.org/officeDocument/2006/relationships" name="1 WBS" sheetId="2" state="visible" r:id="rId2"/>
    <sheet xmlns:r="http://schemas.openxmlformats.org/officeDocument/2006/relationships" name="2 周计划" sheetId="3" state="visible" r:id="rId3"/>
    <sheet xmlns:r="http://schemas.openxmlformats.org/officeDocument/2006/relationships" name="3 里程碑门禁" sheetId="4" state="visible" r:id="rId4"/>
    <sheet xmlns:r="http://schemas.openxmlformats.org/officeDocument/2006/relationships" name="4 关键路径" sheetId="5" state="visible" r:id="rId5"/>
    <sheet xmlns:r="http://schemas.openxmlformats.org/officeDocument/2006/relationships" name="5 验收清单" sheetId="6" state="visible" r:id="rId6"/>
    <sheet xmlns:r="http://schemas.openxmlformats.org/officeDocument/2006/relationships" name="6 风险与应对" sheetId="7" state="visible" r:id="rId7"/>
    <sheet xmlns:r="http://schemas.openxmlformats.org/officeDocument/2006/relationships" name="7 内容量产" sheetId="8" state="visible" r:id="rId8"/>
    <sheet xmlns:r="http://schemas.openxmlformats.org/officeDocument/2006/relationships" name="8 角色负载" sheetId="9" state="visible" r:id="rId9"/>
  </sheets>
  <definedNames>
    <definedName name="_xlnm._FilterDatabase" localSheetId="1" hidden="1">'1 WBS'!$A$1:$L$50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E2A44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10"/>
    </font>
    <font>
      <name val="微软雅黑"/>
      <color rgb="006B7485"/>
      <sz val="9"/>
    </font>
    <font>
      <name val="微软雅黑"/>
      <i val="1"/>
      <color rgb="006B7485"/>
      <sz val="9"/>
    </font>
  </fonts>
  <fills count="8">
    <fill>
      <patternFill/>
    </fill>
    <fill>
      <patternFill patternType="gray125"/>
    </fill>
    <fill>
      <patternFill patternType="solid">
        <fgColor rgb="00E8ECF3"/>
      </patternFill>
    </fill>
    <fill>
      <patternFill patternType="solid">
        <fgColor rgb="001E2A44"/>
      </patternFill>
    </fill>
    <fill>
      <patternFill patternType="solid">
        <fgColor rgb="00EEF4FB"/>
      </patternFill>
    </fill>
    <fill>
      <patternFill patternType="solid">
        <fgColor rgb="00FBF3EE"/>
      </patternFill>
    </fill>
    <fill>
      <patternFill patternType="solid">
        <fgColor rgb="00FFF6E0"/>
      </patternFill>
    </fill>
    <fill>
      <patternFill patternType="solid">
        <fgColor rgb="00E6EEF8"/>
      </patternFill>
    </fill>
  </fills>
  <borders count="2">
    <border>
      <left/>
      <right/>
      <top/>
      <bottom/>
      <diagonal/>
    </border>
    <border>
      <left style="thin">
        <color rgb="00C8CFDB"/>
      </left>
      <right style="thin">
        <color rgb="00C8CFDB"/>
      </right>
      <top style="thin">
        <color rgb="00C8CFDB"/>
      </top>
      <bottom style="thin">
        <color rgb="00C8CFD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2" fillId="2" borderId="1" pivotButton="0" quotePrefix="0" xfId="0"/>
    <xf numFmtId="0" fontId="0" fillId="2" borderId="1" pivotButton="0" quotePrefix="0" xfId="0"/>
    <xf numFmtId="0" fontId="5" fillId="2" borderId="1" pivotButton="0" quotePrefix="0" xfId="0"/>
    <xf numFmtId="0" fontId="3" fillId="6" borderId="1" applyAlignment="1" pivotButton="0" quotePrefix="0" xfId="0">
      <alignment vertical="center" wrapText="1"/>
    </xf>
    <xf numFmtId="9" fontId="3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6" fillId="0" borderId="0" pivotButton="0" quotePrefix="0" xfId="0"/>
    <xf numFmtId="9" fontId="3" fillId="0" borderId="1" applyAlignment="1" pivotButton="0" quotePrefix="0" xfId="0">
      <alignment vertical="center" wrapText="1"/>
    </xf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 ht="30" customHeight="1">
      <c r="A1" s="1" t="inlineStr">
        <is>
          <t>《弹魂回廊》可执行计划</t>
        </is>
      </c>
    </row>
    <row r="2">
      <c r="A2" s="2" t="inlineStr">
        <is>
          <t>版本</t>
        </is>
      </c>
      <c r="B2" s="3" t="inlineStr">
        <is>
          <t>v1.0（对齐策划案 v2.0 第 16 章）</t>
        </is>
      </c>
    </row>
    <row r="3">
      <c r="A3" s="2" t="inlineStr">
        <is>
          <t>周期</t>
        </is>
      </c>
      <c r="B3" s="3" t="inlineStr">
        <is>
          <t>24 周（阶段一 12 周 + 阶段二 12 周），W1 起 = 2026-10-26</t>
        </is>
      </c>
    </row>
    <row r="4">
      <c r="A4" s="2" t="inlineStr">
        <is>
          <t>团队</t>
        </is>
      </c>
      <c r="B4" s="3" t="inlineStr">
        <is>
          <t>8 人：主策 1、系统策划 1、关卡策划 1、客户端 2、美术 2、QA 1；动效/音频外包</t>
        </is>
      </c>
    </row>
    <row r="5">
      <c r="A5" s="2" t="inlineStr">
        <is>
          <t>直接工作量</t>
        </is>
      </c>
      <c r="B5" s="3" t="inlineStr">
        <is>
          <t>190 人日 = 阶段一 100 + 阶段二 90</t>
        </is>
      </c>
    </row>
    <row r="6">
      <c r="A6" s="2" t="inlineStr">
        <is>
          <t>理论容量</t>
        </is>
      </c>
      <c r="B6" s="3" t="inlineStr">
        <is>
          <t>8 人 × 24 周 × 5 天 = 960 人日</t>
        </is>
      </c>
    </row>
    <row r="7">
      <c r="A7" s="2" t="inlineStr">
        <is>
          <t>差额去向</t>
        </is>
      </c>
      <c r="B7" s="3" t="inlineStr">
        <is>
          <t>770 人日 = 美术抛光 30% + 返工与评审 25% + 移植与兼容 15% + 宣发与商店素材 15% + 本地化与 QA 15%；不是闲置，是必须做但不在关键路径上的工作</t>
        </is>
      </c>
    </row>
    <row r="8">
      <c r="A8" s="4" t="inlineStr"/>
      <c r="B8" s="5" t="inlineStr"/>
    </row>
    <row r="9">
      <c r="A9" s="4" t="inlineStr">
        <is>
          <t>工作表用法</t>
        </is>
      </c>
      <c r="B9" s="5" t="inlineStr">
        <is>
          <t>1 WBS：任务级清单，改“状态”列即可当看板</t>
        </is>
      </c>
    </row>
    <row r="10">
      <c r="A10" s="4" t="inlineStr"/>
      <c r="B10" s="5" t="inlineStr">
        <is>
          <t>2 周计划：按周看负载与门禁位置，可判断是否超载</t>
        </is>
      </c>
    </row>
    <row r="11">
      <c r="A11" s="4" t="inlineStr"/>
      <c r="B11" s="5" t="inlineStr">
        <is>
          <t>3 里程碑门禁：每道门的准出条件与不通过处置，避免带病推进</t>
        </is>
      </c>
    </row>
    <row r="12">
      <c r="A12" s="4" t="inlineStr"/>
      <c r="B12" s="5" t="inlineStr">
        <is>
          <t>4 关键路径：这 9 个环节延误直接推迟上线</t>
        </is>
      </c>
    </row>
    <row r="13">
      <c r="A13" s="4" t="inlineStr"/>
      <c r="B13" s="5" t="inlineStr">
        <is>
          <t>5 验收清单：每个系统的 DoD，评审时逐条打勾</t>
        </is>
      </c>
    </row>
    <row r="14">
      <c r="A14" s="4" t="inlineStr"/>
      <c r="B14" s="5" t="inlineStr">
        <is>
          <t>6 风险与应对：写明触发信号，出现即按应对执行</t>
        </is>
      </c>
    </row>
    <row r="15">
      <c r="A15" s="4" t="inlineStr"/>
      <c r="B15" s="5" t="inlineStr">
        <is>
          <t>7 内容量产：批量填充的计数看板与复用模板</t>
        </is>
      </c>
    </row>
    <row r="16">
      <c r="A16" s="4" t="inlineStr"/>
      <c r="B16" s="5" t="inlineStr"/>
    </row>
    <row r="17">
      <c r="A17" s="4" t="inlineStr">
        <is>
          <t>与策划案的关系</t>
        </is>
      </c>
      <c r="B17" s="5" t="inlineStr">
        <is>
          <t>计划只做排期与验收，不改设计。任何设计变更回策划案改，再同步本表</t>
        </is>
      </c>
    </row>
    <row r="18">
      <c r="A18" s="4" t="inlineStr">
        <is>
          <t>使用纪律</t>
        </is>
      </c>
      <c r="B18" s="5" t="inlineStr">
        <is>
          <t>门禁不过不进下一阶段；阶段二不新增系统，只填内容、调数值、修体验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8" customWidth="1" min="4" max="4"/>
    <col width="46" customWidth="1" min="5" max="5"/>
    <col width="30" customWidth="1" min="6" max="6"/>
    <col width="11" customWidth="1" min="7" max="7"/>
    <col width="7" customWidth="1" min="8" max="8"/>
    <col width="8" customWidth="1" min="9" max="9"/>
    <col width="11" customWidth="1" min="10" max="10"/>
    <col width="46" customWidth="1" min="11" max="11"/>
    <col width="9" customWidth="1" min="12" max="12"/>
  </cols>
  <sheetData>
    <row r="1" ht="30" customHeight="1">
      <c r="A1" s="6" t="inlineStr">
        <is>
          <t>ID</t>
        </is>
      </c>
      <c r="B1" s="6" t="inlineStr">
        <is>
          <t>阶段</t>
        </is>
      </c>
      <c r="C1" s="6" t="inlineStr">
        <is>
          <t>里程碑</t>
        </is>
      </c>
      <c r="D1" s="6" t="inlineStr">
        <is>
          <t>类别</t>
        </is>
      </c>
      <c r="E1" s="6" t="inlineStr">
        <is>
          <t>任务</t>
        </is>
      </c>
      <c r="F1" s="6" t="inlineStr">
        <is>
          <t>产出物</t>
        </is>
      </c>
      <c r="G1" s="6" t="inlineStr">
        <is>
          <t>主责</t>
        </is>
      </c>
      <c r="H1" s="6" t="inlineStr">
        <is>
          <t>人日</t>
        </is>
      </c>
      <c r="I1" s="6" t="inlineStr">
        <is>
          <t>前置</t>
        </is>
      </c>
      <c r="J1" s="6" t="inlineStr">
        <is>
          <t>计划周</t>
        </is>
      </c>
      <c r="K1" s="6" t="inlineStr">
        <is>
          <t>验收标准</t>
        </is>
      </c>
      <c r="L1" s="6" t="inlineStr">
        <is>
          <t>状态</t>
        </is>
      </c>
    </row>
    <row r="2" ht="34" customHeight="1">
      <c r="A2" s="7" t="inlineStr">
        <is>
          <t>S01</t>
        </is>
      </c>
      <c r="B2" s="7" t="inlineStr">
        <is>
          <t>阶段一</t>
        </is>
      </c>
      <c r="C2" s="7" t="inlineStr">
        <is>
          <t>M0</t>
        </is>
      </c>
      <c r="D2" s="7" t="inlineStr">
        <is>
          <t>系统</t>
        </is>
      </c>
      <c r="E2" s="7" t="inlineStr">
        <is>
          <t>工程搭建：仓库、分支策略、构建脚本、配表工具</t>
        </is>
      </c>
      <c r="F2" s="7" t="inlineStr">
        <is>
          <t>一键构建的空工程 + 配表导出流程</t>
        </is>
      </c>
      <c r="G2" s="7" t="inlineStr">
        <is>
          <t>客户端A</t>
        </is>
      </c>
      <c r="H2" s="7" t="n">
        <v>1.5</v>
      </c>
      <c r="I2" s="7" t="inlineStr">
        <is>
          <t>—</t>
        </is>
      </c>
      <c r="J2" s="7" t="inlineStr">
        <is>
          <t>W1</t>
        </is>
      </c>
      <c r="K2" s="7" t="inlineStr">
        <is>
          <t>改表后 10 秒内热更生效；构建成功率 100%</t>
        </is>
      </c>
      <c r="L2" s="7" t="inlineStr">
        <is>
          <t>未开始</t>
        </is>
      </c>
    </row>
    <row r="3" ht="34" customHeight="1">
      <c r="A3" s="7" t="inlineStr">
        <is>
          <t>S02</t>
        </is>
      </c>
      <c r="B3" s="7" t="inlineStr">
        <is>
          <t>阶段一</t>
        </is>
      </c>
      <c r="C3" s="7" t="inlineStr">
        <is>
          <t>M0</t>
        </is>
      </c>
      <c r="D3" s="7" t="inlineStr">
        <is>
          <t>系统</t>
        </is>
      </c>
      <c r="E3" s="7" t="inlineStr">
        <is>
          <t>圆形场地、玩家移动、相机与 16:9 适配</t>
        </is>
      </c>
      <c r="F3" s="7" t="inlineStr">
        <is>
          <t>可自由走位的圆形场地</t>
        </is>
      </c>
      <c r="G3" s="7" t="inlineStr">
        <is>
          <t>客户端A</t>
        </is>
      </c>
      <c r="H3" s="7" t="n">
        <v>1.5</v>
      </c>
      <c r="I3" s="7" t="inlineStr">
        <is>
          <t>S01</t>
        </is>
      </c>
      <c r="J3" s="7" t="inlineStr">
        <is>
          <t>W1</t>
        </is>
      </c>
      <c r="K3" s="7" t="inlineStr">
        <is>
          <t>1920×1080 / 1280×720 / 16:10 三种比例下场地不裁切</t>
        </is>
      </c>
      <c r="L3" s="7" t="inlineStr">
        <is>
          <t>未开始</t>
        </is>
      </c>
    </row>
    <row r="4" ht="34" customHeight="1">
      <c r="A4" s="7" t="inlineStr">
        <is>
          <t>S03</t>
        </is>
      </c>
      <c r="B4" s="7" t="inlineStr">
        <is>
          <t>阶段一</t>
        </is>
      </c>
      <c r="C4" s="7" t="inlineStr">
        <is>
          <t>M0</t>
        </is>
      </c>
      <c r="D4" s="7" t="inlineStr">
        <is>
          <t>系统</t>
        </is>
      </c>
      <c r="E4" s="7" t="inlineStr">
        <is>
          <t>弹丸状态机：弹丸槽、发射、装填 CD、状态切换</t>
        </is>
      </c>
      <c r="F4" s="7" t="inlineStr">
        <is>
          <t>可发射/回收的弹丸系统</t>
        </is>
      </c>
      <c r="G4" s="7" t="inlineStr">
        <is>
          <t>客户端A</t>
        </is>
      </c>
      <c r="H4" s="7" t="n">
        <v>4</v>
      </c>
      <c r="I4" s="7" t="inlineStr">
        <is>
          <t>S02</t>
        </is>
      </c>
      <c r="J4" s="7" t="inlineStr">
        <is>
          <t>W1–2</t>
        </is>
      </c>
      <c r="K4" s="7" t="inlineStr">
        <is>
          <t>槽位状态（已装填/飞行中/装填中）与 HUD 完全一致，无状态错乱</t>
        </is>
      </c>
      <c r="L4" s="7" t="inlineStr">
        <is>
          <t>未开始</t>
        </is>
      </c>
    </row>
    <row r="5" ht="34" customHeight="1">
      <c r="A5" s="7" t="inlineStr">
        <is>
          <t>S04</t>
        </is>
      </c>
      <c r="B5" s="7" t="inlineStr">
        <is>
          <t>阶段一</t>
        </is>
      </c>
      <c r="C5" s="7" t="inlineStr">
        <is>
          <t>M0</t>
        </is>
      </c>
      <c r="D5" s="7" t="inlineStr">
        <is>
          <t>系统</t>
        </is>
      </c>
      <c r="E5" s="7" t="inlineStr">
        <is>
          <t>弹射反射（径向法线）、回弹判定、接住与吸附</t>
        </is>
      </c>
      <c r="F5" s="7" t="inlineStr">
        <is>
          <t>完整的弹射—回弹—接住循环</t>
        </is>
      </c>
      <c r="G5" s="7" t="inlineStr">
        <is>
          <t>客户端A</t>
        </is>
      </c>
      <c r="H5" s="7" t="n">
        <v>4</v>
      </c>
      <c r="I5" s="7" t="inlineStr">
        <is>
          <t>S03</t>
        </is>
      </c>
      <c r="J5" s="7" t="inlineStr">
        <is>
          <t>W2–3</t>
        </is>
      </c>
      <c r="K5" s="7" t="inlineStr">
        <is>
          <t>26 px 路径扫掠不漏接；弹射次数与伤害衰减符合 3.3 表</t>
        </is>
      </c>
      <c r="L5" s="7" t="inlineStr">
        <is>
          <t>未开始</t>
        </is>
      </c>
    </row>
    <row r="6" ht="34" customHeight="1">
      <c r="A6" s="7" t="inlineStr">
        <is>
          <t>T01</t>
        </is>
      </c>
      <c r="B6" s="7" t="inlineStr">
        <is>
          <t>阶段一</t>
        </is>
      </c>
      <c r="C6" s="7" t="inlineStr">
        <is>
          <t>M0</t>
        </is>
      </c>
      <c r="D6" s="7" t="inlineStr">
        <is>
          <t>调优</t>
        </is>
      </c>
      <c r="E6" s="7" t="inlineStr">
        <is>
          <t>手感调参：弹速、CD、吸附、回弹速度</t>
        </is>
      </c>
      <c r="F6" s="7" t="inlineStr">
        <is>
          <t>手感参数基线表</t>
        </is>
      </c>
      <c r="G6" s="7" t="inlineStr">
        <is>
          <t>主策</t>
        </is>
      </c>
      <c r="H6" s="7" t="n">
        <v>4</v>
      </c>
      <c r="I6" s="7" t="inlineStr">
        <is>
          <t>S04</t>
        </is>
      </c>
      <c r="J6" s="7" t="inlineStr">
        <is>
          <t>W2–3</t>
        </is>
      </c>
      <c r="K6" s="7" t="inlineStr">
        <is>
          <t>5 分钟试玩内“发射—弹射—接住”可稳定复现，评审通过</t>
        </is>
      </c>
      <c r="L6" s="7" t="inlineStr">
        <is>
          <t>未开始</t>
        </is>
      </c>
    </row>
    <row r="7" ht="34" customHeight="1">
      <c r="A7" s="7" t="inlineStr">
        <is>
          <t>S05</t>
        </is>
      </c>
      <c r="B7" s="7" t="inlineStr">
        <is>
          <t>阶段一</t>
        </is>
      </c>
      <c r="C7" s="7" t="inlineStr">
        <is>
          <t>M1</t>
        </is>
      </c>
      <c r="D7" s="7" t="inlineStr">
        <is>
          <t>系统</t>
        </is>
      </c>
      <c r="E7" s="7" t="inlineStr">
        <is>
          <t>波次系统：10–20 波、波次间歇、刷怪点与同屏上限</t>
        </is>
      </c>
      <c r="F7" s="7" t="inlineStr">
        <is>
          <t>可跑完整一关的波次流程</t>
        </is>
      </c>
      <c r="G7" s="7" t="inlineStr">
        <is>
          <t>客户端A</t>
        </is>
      </c>
      <c r="H7" s="7" t="n">
        <v>3</v>
      </c>
      <c r="I7" s="7" t="inlineStr">
        <is>
          <t>S04</t>
        </is>
      </c>
      <c r="J7" s="7" t="inlineStr">
        <is>
          <t>W3</t>
        </is>
      </c>
      <c r="K7" s="7" t="inlineStr">
        <is>
          <t>单波 25–35 秒；清空提前结束；同屏子弹 ≤ 260</t>
        </is>
      </c>
      <c r="L7" s="7" t="inlineStr">
        <is>
          <t>未开始</t>
        </is>
      </c>
    </row>
    <row r="8" ht="34" customHeight="1">
      <c r="A8" s="7" t="inlineStr">
        <is>
          <t>S06</t>
        </is>
      </c>
      <c r="B8" s="7" t="inlineStr">
        <is>
          <t>阶段一</t>
        </is>
      </c>
      <c r="C8" s="7" t="inlineStr">
        <is>
          <t>M1</t>
        </is>
      </c>
      <c r="D8" s="7" t="inlineStr">
        <is>
          <t>系统</t>
        </is>
      </c>
      <c r="E8" s="7" t="inlineStr">
        <is>
          <t>升级三选一与技能框架（品质、3 级、卡池权重）</t>
        </is>
      </c>
      <c r="F8" s="7" t="inlineStr">
        <is>
          <t>可升级并生效的技能系统</t>
        </is>
      </c>
      <c r="G8" s="7" t="inlineStr">
        <is>
          <t>系统策划</t>
        </is>
      </c>
      <c r="H8" s="7" t="n">
        <v>3</v>
      </c>
      <c r="I8" s="7" t="inlineStr">
        <is>
          <t>S05</t>
        </is>
      </c>
      <c r="J8" s="7" t="inlineStr">
        <is>
          <t>W4</t>
        </is>
      </c>
      <c r="K8" s="7" t="inlineStr">
        <is>
          <t>三选一不重复出已满级技能；品质权重符合 9.x</t>
        </is>
      </c>
      <c r="L8" s="7" t="inlineStr">
        <is>
          <t>未开始</t>
        </is>
      </c>
    </row>
    <row r="9" ht="34" customHeight="1">
      <c r="A9" s="7" t="inlineStr">
        <is>
          <t>C02</t>
        </is>
      </c>
      <c r="B9" s="7" t="inlineStr">
        <is>
          <t>阶段一</t>
        </is>
      </c>
      <c r="C9" s="7" t="inlineStr">
        <is>
          <t>M1</t>
        </is>
      </c>
      <c r="D9" s="7" t="inlineStr">
        <is>
          <t>内容</t>
        </is>
      </c>
      <c r="E9" s="7" t="inlineStr">
        <is>
          <t>技能 ×10（绿 4 / 蓝 4 / 紫 2）</t>
        </is>
      </c>
      <c r="F9" s="7" t="inlineStr">
        <is>
          <t>10 个可用技能</t>
        </is>
      </c>
      <c r="G9" s="7" t="inlineStr">
        <is>
          <t>系统策划</t>
        </is>
      </c>
      <c r="H9" s="7" t="n">
        <v>3</v>
      </c>
      <c r="I9" s="7" t="inlineStr">
        <is>
          <t>S06</t>
        </is>
      </c>
      <c r="J9" s="7" t="inlineStr">
        <is>
          <t>W3–4</t>
        </is>
      </c>
      <c r="K9" s="7" t="inlineStr">
        <is>
          <t>每个技能 3 级数值齐全，融合/进化标签标注正确</t>
        </is>
      </c>
      <c r="L9" s="7" t="inlineStr">
        <is>
          <t>未开始</t>
        </is>
      </c>
    </row>
    <row r="10" ht="34" customHeight="1">
      <c r="A10" s="7" t="inlineStr">
        <is>
          <t>C05</t>
        </is>
      </c>
      <c r="B10" s="7" t="inlineStr">
        <is>
          <t>阶段一</t>
        </is>
      </c>
      <c r="C10" s="7" t="inlineStr">
        <is>
          <t>M1</t>
        </is>
      </c>
      <c r="D10" s="7" t="inlineStr">
        <is>
          <t>内容</t>
        </is>
      </c>
      <c r="E10" s="7" t="inlineStr">
        <is>
          <t>关卡 ×1：新手回廊（圆形 R=500）与 10 波配置</t>
        </is>
      </c>
      <c r="F10" s="7" t="inlineStr">
        <is>
          <t>第 1 关完整可玩</t>
        </is>
      </c>
      <c r="G10" s="7" t="inlineStr">
        <is>
          <t>关卡策划</t>
        </is>
      </c>
      <c r="H10" s="7" t="n">
        <v>2</v>
      </c>
      <c r="I10" s="7" t="inlineStr">
        <is>
          <t>S05</t>
        </is>
      </c>
      <c r="J10" s="7" t="inlineStr">
        <is>
          <t>W4</t>
        </is>
      </c>
      <c r="K10" s="7" t="inlineStr">
        <is>
          <t>三档难度均可进入；波次与 6.4 一致</t>
        </is>
      </c>
      <c r="L10" s="7" t="inlineStr">
        <is>
          <t>未开始</t>
        </is>
      </c>
    </row>
    <row r="11" ht="34" customHeight="1">
      <c r="A11" s="7" t="inlineStr">
        <is>
          <t>C07</t>
        </is>
      </c>
      <c r="B11" s="7" t="inlineStr">
        <is>
          <t>阶段一</t>
        </is>
      </c>
      <c r="C11" s="7" t="inlineStr">
        <is>
          <t>M1</t>
        </is>
      </c>
      <c r="D11" s="7" t="inlineStr">
        <is>
          <t>内容</t>
        </is>
      </c>
      <c r="E11" s="7" t="inlineStr">
        <is>
          <t>BOSS ×1：石像守卫·奥格（5 技能 + 2 阶段）</t>
        </is>
      </c>
      <c r="F11" s="7" t="inlineStr">
        <is>
          <t>可挑战的第 1 关 BOSS</t>
        </is>
      </c>
      <c r="G11" s="7" t="inlineStr">
        <is>
          <t>关卡策划</t>
        </is>
      </c>
      <c r="H11" s="7" t="n">
        <v>2</v>
      </c>
      <c r="I11" s="7" t="inlineStr">
        <is>
          <t>C05</t>
        </is>
      </c>
      <c r="J11" s="7" t="inlineStr">
        <is>
          <t>W4–5</t>
        </is>
      </c>
      <c r="K11" s="7" t="inlineStr">
        <is>
          <t>5 个技能全部实装；P2 在 50% 血量正确触发</t>
        </is>
      </c>
      <c r="L11" s="7" t="inlineStr">
        <is>
          <t>未开始</t>
        </is>
      </c>
    </row>
    <row r="12" ht="34" customHeight="1">
      <c r="A12" s="7" t="inlineStr">
        <is>
          <t>C09</t>
        </is>
      </c>
      <c r="B12" s="7" t="inlineStr">
        <is>
          <t>阶段一</t>
        </is>
      </c>
      <c r="C12" s="7" t="inlineStr">
        <is>
          <t>M1</t>
        </is>
      </c>
      <c r="D12" s="7" t="inlineStr">
        <is>
          <t>内容</t>
        </is>
      </c>
      <c r="E12" s="7" t="inlineStr">
        <is>
          <t>敌人 ×3：游荡者、射手、冲锋者</t>
        </is>
      </c>
      <c r="F12" s="7" t="inlineStr">
        <is>
          <t>3 种普通敌人</t>
        </is>
      </c>
      <c r="G12" s="7" t="inlineStr">
        <is>
          <t>关卡策划</t>
        </is>
      </c>
      <c r="H12" s="7" t="n">
        <v>1.5</v>
      </c>
      <c r="I12" s="7" t="inlineStr">
        <is>
          <t>S05</t>
        </is>
      </c>
      <c r="J12" s="7" t="inlineStr">
        <is>
          <t>W4</t>
        </is>
      </c>
      <c r="K12" s="7" t="inlineStr">
        <is>
          <t>数值与 7.5 一致；AI 行为可区分</t>
        </is>
      </c>
      <c r="L12" s="7" t="inlineStr">
        <is>
          <t>未开始</t>
        </is>
      </c>
    </row>
    <row r="13" ht="34" customHeight="1">
      <c r="A13" s="7" t="inlineStr">
        <is>
          <t>C11</t>
        </is>
      </c>
      <c r="B13" s="7" t="inlineStr">
        <is>
          <t>阶段一</t>
        </is>
      </c>
      <c r="C13" s="7" t="inlineStr">
        <is>
          <t>M1</t>
        </is>
      </c>
      <c r="D13" s="7" t="inlineStr">
        <is>
          <t>内容</t>
        </is>
      </c>
      <c r="E13" s="7" t="inlineStr">
        <is>
          <t>UI ×6：主菜单、HUD、升级面板、结算、暂停、设置</t>
        </is>
      </c>
      <c r="F13" s="7" t="inlineStr">
        <is>
          <t>6 个可用界面</t>
        </is>
      </c>
      <c r="G13" s="7" t="inlineStr">
        <is>
          <t>美术A</t>
        </is>
      </c>
      <c r="H13" s="7" t="n">
        <v>6</v>
      </c>
      <c r="I13" s="7" t="inlineStr">
        <is>
          <t>S02</t>
        </is>
      </c>
      <c r="J13" s="7" t="inlineStr">
        <is>
          <t>W4–5</t>
        </is>
      </c>
      <c r="K13" s="7" t="inlineStr">
        <is>
          <t>全部分辨率下不遮挡战场；HUD 位于左右边栏</t>
        </is>
      </c>
      <c r="L13" s="7" t="inlineStr">
        <is>
          <t>未开始</t>
        </is>
      </c>
    </row>
    <row r="14" ht="34" customHeight="1">
      <c r="A14" s="7" t="inlineStr">
        <is>
          <t>T02</t>
        </is>
      </c>
      <c r="B14" s="7" t="inlineStr">
        <is>
          <t>阶段一</t>
        </is>
      </c>
      <c r="C14" s="7" t="inlineStr">
        <is>
          <t>M1</t>
        </is>
      </c>
      <c r="D14" s="7" t="inlineStr">
        <is>
          <t>调优</t>
        </is>
      </c>
      <c r="E14" s="7" t="inlineStr">
        <is>
          <t>难度验证：三档差异可感知、数值不失控</t>
        </is>
      </c>
      <c r="F14" s="7" t="inlineStr">
        <is>
          <t>难度验收报告</t>
        </is>
      </c>
      <c r="G14" s="7" t="inlineStr">
        <is>
          <t>主策</t>
        </is>
      </c>
      <c r="H14" s="7" t="n">
        <v>6</v>
      </c>
      <c r="I14" s="7" t="inlineStr">
        <is>
          <t>C07</t>
        </is>
      </c>
      <c r="J14" s="7" t="inlineStr">
        <is>
          <t>W5–8</t>
        </is>
      </c>
      <c r="K14" s="7" t="inlineStr">
        <is>
          <t>同关卡三档的通关率差值 ≥ 30 个百分点</t>
        </is>
      </c>
      <c r="L14" s="7" t="inlineStr">
        <is>
          <t>未开始</t>
        </is>
      </c>
    </row>
    <row r="15" ht="34" customHeight="1">
      <c r="A15" s="7" t="inlineStr">
        <is>
          <t>T03a</t>
        </is>
      </c>
      <c r="B15" s="7" t="inlineStr">
        <is>
          <t>阶段一</t>
        </is>
      </c>
      <c r="C15" s="7" t="inlineStr">
        <is>
          <t>M1</t>
        </is>
      </c>
      <c r="D15" s="7" t="inlineStr">
        <is>
          <t>调优</t>
        </is>
      </c>
      <c r="E15" s="7" t="inlineStr">
        <is>
          <t>第 1 轮内部可玩性测试（5 人）</t>
        </is>
      </c>
      <c r="F15" s="7" t="inlineStr">
        <is>
          <t>问题清单与优先级</t>
        </is>
      </c>
      <c r="G15" s="7" t="inlineStr">
        <is>
          <t>QA</t>
        </is>
      </c>
      <c r="H15" s="7" t="n">
        <v>2</v>
      </c>
      <c r="I15" s="7" t="inlineStr">
        <is>
          <t>C11</t>
        </is>
      </c>
      <c r="J15" s="7" t="inlineStr">
        <is>
          <t>W5</t>
        </is>
      </c>
      <c r="K15" s="7" t="inlineStr">
        <is>
          <t>阻塞级问题清零</t>
        </is>
      </c>
      <c r="L15" s="7" t="inlineStr">
        <is>
          <t>未开始</t>
        </is>
      </c>
    </row>
    <row r="16" ht="34" customHeight="1">
      <c r="A16" s="7" t="inlineStr">
        <is>
          <t>S07</t>
        </is>
      </c>
      <c r="B16" s="7" t="inlineStr">
        <is>
          <t>阶段一</t>
        </is>
      </c>
      <c r="C16" s="7" t="inlineStr">
        <is>
          <t>M2</t>
        </is>
      </c>
      <c r="D16" s="7" t="inlineStr">
        <is>
          <t>系统</t>
        </is>
      </c>
      <c r="E16" s="7" t="inlineStr">
        <is>
          <t>融合与进化：跨类融合判定、同类进化、次数上限</t>
        </is>
      </c>
      <c r="F16" s="7" t="inlineStr">
        <is>
          <t>融合/进化系统</t>
        </is>
      </c>
      <c r="G16" s="7" t="inlineStr">
        <is>
          <t>系统策划</t>
        </is>
      </c>
      <c r="H16" s="7" t="n">
        <v>3</v>
      </c>
      <c r="I16" s="7" t="inlineStr">
        <is>
          <t>S06</t>
        </is>
      </c>
      <c r="J16" s="7" t="inlineStr">
        <is>
          <t>W6–7</t>
        </is>
      </c>
      <c r="K16" s="7" t="inlineStr">
        <is>
          <t>每局融合/进化各限 2 次；12 条融合配方可全部达成</t>
        </is>
      </c>
      <c r="L16" s="7" t="inlineStr">
        <is>
          <t>未开始</t>
        </is>
      </c>
    </row>
    <row r="17" ht="34" customHeight="1">
      <c r="A17" s="7" t="inlineStr">
        <is>
          <t>S08</t>
        </is>
      </c>
      <c r="B17" s="7" t="inlineStr">
        <is>
          <t>阶段一</t>
        </is>
      </c>
      <c r="C17" s="7" t="inlineStr">
        <is>
          <t>M2</t>
        </is>
      </c>
      <c r="D17" s="7" t="inlineStr">
        <is>
          <t>系统</t>
        </is>
      </c>
      <c r="E17" s="7" t="inlineStr">
        <is>
          <t>掉落与拾取：经验/进化/魂晶/金币、吸附半径</t>
        </is>
      </c>
      <c r="F17" s="7" t="inlineStr">
        <is>
          <t>掉落与钱包</t>
        </is>
      </c>
      <c r="G17" s="7" t="inlineStr">
        <is>
          <t>客户端B</t>
        </is>
      </c>
      <c r="H17" s="7" t="n">
        <v>2</v>
      </c>
      <c r="I17" s="7" t="inlineStr">
        <is>
          <t>S05</t>
        </is>
      </c>
      <c r="J17" s="7" t="inlineStr">
        <is>
          <t>W6</t>
        </is>
      </c>
      <c r="K17" s="7" t="inlineStr">
        <is>
          <t>四种掉落表与 8.2 一致；金币跨局累积不丢失</t>
        </is>
      </c>
      <c r="L17" s="7" t="inlineStr">
        <is>
          <t>未开始</t>
        </is>
      </c>
    </row>
    <row r="18" ht="34" customHeight="1">
      <c r="A18" s="7" t="inlineStr">
        <is>
          <t>S09</t>
        </is>
      </c>
      <c r="B18" s="7" t="inlineStr">
        <is>
          <t>阶段一</t>
        </is>
      </c>
      <c r="C18" s="7" t="inlineStr">
        <is>
          <t>M2</t>
        </is>
      </c>
      <c r="D18" s="7" t="inlineStr">
        <is>
          <t>系统</t>
        </is>
      </c>
      <c r="E18" s="7" t="inlineStr">
        <is>
          <t>天赋树与角色三轨购买（纯金币/混合/纯魂晶）</t>
        </is>
      </c>
      <c r="F18" s="7" t="inlineStr">
        <is>
          <t>局外养成闭环</t>
        </is>
      </c>
      <c r="G18" s="7" t="inlineStr">
        <is>
          <t>系统策划</t>
        </is>
      </c>
      <c r="H18" s="7" t="n">
        <v>3</v>
      </c>
      <c r="I18" s="7" t="inlineStr">
        <is>
          <t>S08</t>
        </is>
      </c>
      <c r="J18" s="7" t="inlineStr">
        <is>
          <t>W7–8</t>
        </is>
      </c>
      <c r="K18" s="7" t="inlineStr">
        <is>
          <t>三轨定价与 5.4 完全一致；魂晶不足时报错不吞币</t>
        </is>
      </c>
      <c r="L18" s="7" t="inlineStr">
        <is>
          <t>未开始</t>
        </is>
      </c>
    </row>
    <row r="19" ht="34" customHeight="1">
      <c r="A19" s="7" t="inlineStr">
        <is>
          <t>S10</t>
        </is>
      </c>
      <c r="B19" s="7" t="inlineStr">
        <is>
          <t>阶段一</t>
        </is>
      </c>
      <c r="C19" s="7" t="inlineStr">
        <is>
          <t>M2</t>
        </is>
      </c>
      <c r="D19" s="7" t="inlineStr">
        <is>
          <t>系统</t>
        </is>
      </c>
      <c r="E19" s="7" t="inlineStr">
        <is>
          <t>图鉴：击杀计数、里程碑奖励、按难度铜银金框</t>
        </is>
      </c>
      <c r="F19" s="7" t="inlineStr">
        <is>
          <t>图鉴系统</t>
        </is>
      </c>
      <c r="G19" s="7" t="inlineStr">
        <is>
          <t>客户端B</t>
        </is>
      </c>
      <c r="H19" s="7" t="n">
        <v>2</v>
      </c>
      <c r="I19" s="7" t="inlineStr">
        <is>
          <t>S08</t>
        </is>
      </c>
      <c r="J19" s="7" t="inlineStr">
        <is>
          <t>W8</t>
        </is>
      </c>
      <c r="K19" s="7" t="inlineStr">
        <is>
          <t>铜/银/金框解锁条件与 11.3 一致</t>
        </is>
      </c>
      <c r="L19" s="7" t="inlineStr">
        <is>
          <t>未开始</t>
        </is>
      </c>
    </row>
    <row r="20" ht="34" customHeight="1">
      <c r="A20" s="7" t="inlineStr">
        <is>
          <t>S11</t>
        </is>
      </c>
      <c r="B20" s="7" t="inlineStr">
        <is>
          <t>阶段一</t>
        </is>
      </c>
      <c r="C20" s="7" t="inlineStr">
        <is>
          <t>M2</t>
        </is>
      </c>
      <c r="D20" s="7" t="inlineStr">
        <is>
          <t>系统</t>
        </is>
      </c>
      <c r="E20" s="7" t="inlineStr">
        <is>
          <t>存档：本地存档、版本迁移、云存档接口预留</t>
        </is>
      </c>
      <c r="F20" s="7" t="inlineStr">
        <is>
          <t>存档系统</t>
        </is>
      </c>
      <c r="G20" s="7" t="inlineStr">
        <is>
          <t>客户端B</t>
        </is>
      </c>
      <c r="H20" s="7" t="n">
        <v>2</v>
      </c>
      <c r="I20" s="7" t="inlineStr">
        <is>
          <t>S09</t>
        </is>
      </c>
      <c r="J20" s="7" t="inlineStr">
        <is>
          <t>W9</t>
        </is>
      </c>
      <c r="K20" s="7" t="inlineStr">
        <is>
          <t>断电/强退不丢档；旧档可迁移</t>
        </is>
      </c>
      <c r="L20" s="7" t="inlineStr">
        <is>
          <t>未开始</t>
        </is>
      </c>
    </row>
    <row r="21" ht="34" customHeight="1">
      <c r="A21" s="7" t="inlineStr">
        <is>
          <t>C04</t>
        </is>
      </c>
      <c r="B21" s="7" t="inlineStr">
        <is>
          <t>阶段一</t>
        </is>
      </c>
      <c r="C21" s="7" t="inlineStr">
        <is>
          <t>M2</t>
        </is>
      </c>
      <c r="D21" s="7" t="inlineStr">
        <is>
          <t>内容</t>
        </is>
      </c>
      <c r="E21" s="7" t="inlineStr">
        <is>
          <t>融合/进化 ×8（4 融合 + 4 进化）</t>
        </is>
      </c>
      <c r="F21" s="7" t="inlineStr">
        <is>
          <t>8 个组合技能</t>
        </is>
      </c>
      <c r="G21" s="7" t="inlineStr">
        <is>
          <t>系统策划</t>
        </is>
      </c>
      <c r="H21" s="7" t="n">
        <v>3.2</v>
      </c>
      <c r="I21" s="7" t="inlineStr">
        <is>
          <t>S07</t>
        </is>
      </c>
      <c r="J21" s="7" t="inlineStr">
        <is>
          <t>W8–10</t>
        </is>
      </c>
      <c r="K21" s="7" t="inlineStr">
        <is>
          <t>每个组合有独立特效与系数，不共用占位</t>
        </is>
      </c>
      <c r="L21" s="7" t="inlineStr">
        <is>
          <t>未开始</t>
        </is>
      </c>
    </row>
    <row r="22" ht="34" customHeight="1">
      <c r="A22" s="7" t="inlineStr">
        <is>
          <t>C12</t>
        </is>
      </c>
      <c r="B22" s="7" t="inlineStr">
        <is>
          <t>阶段一</t>
        </is>
      </c>
      <c r="C22" s="7" t="inlineStr">
        <is>
          <t>M2</t>
        </is>
      </c>
      <c r="D22" s="7" t="inlineStr">
        <is>
          <t>内容</t>
        </is>
      </c>
      <c r="E22" s="7" t="inlineStr">
        <is>
          <t>UI ×6：天赋树、图鉴、角色选择、商店、无尽入口、结算扩展</t>
        </is>
      </c>
      <c r="F22" s="7" t="inlineStr">
        <is>
          <t>6 个可用界面</t>
        </is>
      </c>
      <c r="G22" s="7" t="inlineStr">
        <is>
          <t>美术B</t>
        </is>
      </c>
      <c r="H22" s="7" t="n">
        <v>6</v>
      </c>
      <c r="I22" s="7" t="inlineStr">
        <is>
          <t>C11</t>
        </is>
      </c>
      <c r="J22" s="7" t="inlineStr">
        <is>
          <t>W8–9</t>
        </is>
      </c>
      <c r="K22" s="7" t="inlineStr">
        <is>
          <t>与已有界面风格统一；全部可键鼠操作</t>
        </is>
      </c>
      <c r="L22" s="7" t="inlineStr">
        <is>
          <t>未开始</t>
        </is>
      </c>
    </row>
    <row r="23" ht="34" customHeight="1">
      <c r="A23" s="7" t="inlineStr">
        <is>
          <t>T03b</t>
        </is>
      </c>
      <c r="B23" s="7" t="inlineStr">
        <is>
          <t>阶段一</t>
        </is>
      </c>
      <c r="C23" s="7" t="inlineStr">
        <is>
          <t>M2</t>
        </is>
      </c>
      <c r="D23" s="7" t="inlineStr">
        <is>
          <t>调优</t>
        </is>
      </c>
      <c r="E23" s="7" t="inlineStr">
        <is>
          <t>第 2 轮内部可玩性测试（8 人，含 3 名新玩家）</t>
        </is>
      </c>
      <c r="F23" s="7" t="inlineStr">
        <is>
          <t>新手前 15 分钟流失点报告</t>
        </is>
      </c>
      <c r="G23" s="7" t="inlineStr">
        <is>
          <t>QA</t>
        </is>
      </c>
      <c r="H23" s="7" t="n">
        <v>2</v>
      </c>
      <c r="I23" s="7" t="inlineStr">
        <is>
          <t>C12</t>
        </is>
      </c>
      <c r="J23" s="7" t="inlineStr">
        <is>
          <t>W9</t>
        </is>
      </c>
      <c r="K23" s="7" t="inlineStr">
        <is>
          <t>新手能独立完成第 1 关普通难度</t>
        </is>
      </c>
      <c r="L23" s="7" t="inlineStr">
        <is>
          <t>未开始</t>
        </is>
      </c>
    </row>
    <row r="24" ht="34" customHeight="1">
      <c r="A24" s="7" t="inlineStr">
        <is>
          <t>C01</t>
        </is>
      </c>
      <c r="B24" s="7" t="inlineStr">
        <is>
          <t>阶段一</t>
        </is>
      </c>
      <c r="C24" s="7" t="inlineStr">
        <is>
          <t>M3</t>
        </is>
      </c>
      <c r="D24" s="7" t="inlineStr">
        <is>
          <t>内容</t>
        </is>
      </c>
      <c r="E24" s="7" t="inlineStr">
        <is>
          <t>角色 ×8（含天赋、基础属性、专属技能池）</t>
        </is>
      </c>
      <c r="F24" s="7" t="inlineStr">
        <is>
          <t>8 名可选角色</t>
        </is>
      </c>
      <c r="G24" s="7" t="inlineStr">
        <is>
          <t>系统策划</t>
        </is>
      </c>
      <c r="H24" s="7" t="n">
        <v>4</v>
      </c>
      <c r="I24" s="7" t="inlineStr">
        <is>
          <t>S09</t>
        </is>
      </c>
      <c r="J24" s="7" t="inlineStr">
        <is>
          <t>W10–12</t>
        </is>
      </c>
      <c r="K24" s="7" t="inlineStr">
        <is>
          <t>每人一句话定位；初始与购买角色均可正常解锁</t>
        </is>
      </c>
      <c r="L24" s="7" t="inlineStr">
        <is>
          <t>未开始</t>
        </is>
      </c>
    </row>
    <row r="25" ht="34" customHeight="1">
      <c r="A25" s="7" t="inlineStr">
        <is>
          <t>C03</t>
        </is>
      </c>
      <c r="B25" s="7" t="inlineStr">
        <is>
          <t>阶段一</t>
        </is>
      </c>
      <c r="C25" s="7" t="inlineStr">
        <is>
          <t>M3</t>
        </is>
      </c>
      <c r="D25" s="7" t="inlineStr">
        <is>
          <t>内容</t>
        </is>
      </c>
      <c r="E25" s="7" t="inlineStr">
        <is>
          <t>技能 ×10（紫 4 / 金 4 / 红 2）</t>
        </is>
      </c>
      <c r="F25" s="7" t="inlineStr">
        <is>
          <t>20 个技能到齐</t>
        </is>
      </c>
      <c r="G25" s="7" t="inlineStr">
        <is>
          <t>系统策划</t>
        </is>
      </c>
      <c r="H25" s="7" t="n">
        <v>3</v>
      </c>
      <c r="I25" s="7" t="inlineStr">
        <is>
          <t>C02</t>
        </is>
      </c>
      <c r="J25" s="7" t="inlineStr">
        <is>
          <t>W10–11</t>
        </is>
      </c>
      <c r="K25" s="7" t="inlineStr">
        <is>
          <t>红技三条来源全部可达（融合/进化/15 波后卡池）</t>
        </is>
      </c>
      <c r="L25" s="7" t="inlineStr">
        <is>
          <t>未开始</t>
        </is>
      </c>
    </row>
    <row r="26" ht="34" customHeight="1">
      <c r="A26" s="7" t="inlineStr">
        <is>
          <t>C06</t>
        </is>
      </c>
      <c r="B26" s="7" t="inlineStr">
        <is>
          <t>阶段一</t>
        </is>
      </c>
      <c r="C26" s="7" t="inlineStr">
        <is>
          <t>M3</t>
        </is>
      </c>
      <c r="D26" s="7" t="inlineStr">
        <is>
          <t>内容</t>
        </is>
      </c>
      <c r="E26" s="7" t="inlineStr">
        <is>
          <t>关卡 ×2：齿轮工坊、冰封竞技场（R=520 / 540）</t>
        </is>
      </c>
      <c r="F26" s="7" t="inlineStr">
        <is>
          <t>第 2–3 关</t>
        </is>
      </c>
      <c r="G26" s="7" t="inlineStr">
        <is>
          <t>关卡策划</t>
        </is>
      </c>
      <c r="H26" s="7" t="n">
        <v>4</v>
      </c>
      <c r="I26" s="7" t="inlineStr">
        <is>
          <t>C05</t>
        </is>
      </c>
      <c r="J26" s="7" t="inlineStr">
        <is>
          <t>W10–11</t>
        </is>
      </c>
      <c r="K26" s="7" t="inlineStr">
        <is>
          <t>两关地形机制与 6.4 一致</t>
        </is>
      </c>
      <c r="L26" s="7" t="inlineStr">
        <is>
          <t>未开始</t>
        </is>
      </c>
    </row>
    <row r="27" ht="34" customHeight="1">
      <c r="A27" s="7" t="inlineStr">
        <is>
          <t>C08</t>
        </is>
      </c>
      <c r="B27" s="7" t="inlineStr">
        <is>
          <t>阶段一</t>
        </is>
      </c>
      <c r="C27" s="7" t="inlineStr">
        <is>
          <t>M3</t>
        </is>
      </c>
      <c r="D27" s="7" t="inlineStr">
        <is>
          <t>内容</t>
        </is>
      </c>
      <c r="E27" s="7" t="inlineStr">
        <is>
          <t>BOSS ×2：机械核心·零式、霜巨人·卡格尔</t>
        </is>
      </c>
      <c r="F27" s="7" t="inlineStr">
        <is>
          <t>3 个 BOSS</t>
        </is>
      </c>
      <c r="G27" s="7" t="inlineStr">
        <is>
          <t>关卡策划</t>
        </is>
      </c>
      <c r="H27" s="7" t="n">
        <v>4</v>
      </c>
      <c r="I27" s="7" t="inlineStr">
        <is>
          <t>C07</t>
        </is>
      </c>
      <c r="J27" s="7" t="inlineStr">
        <is>
          <t>W11–12</t>
        </is>
      </c>
      <c r="K27" s="7" t="inlineStr">
        <is>
          <t>各自 ≥4 技能且机制不重复</t>
        </is>
      </c>
      <c r="L27" s="7" t="inlineStr">
        <is>
          <t>未开始</t>
        </is>
      </c>
    </row>
    <row r="28" ht="34" customHeight="1">
      <c r="A28" s="7" t="inlineStr">
        <is>
          <t>C10</t>
        </is>
      </c>
      <c r="B28" s="7" t="inlineStr">
        <is>
          <t>阶段一</t>
        </is>
      </c>
      <c r="C28" s="7" t="inlineStr">
        <is>
          <t>M3</t>
        </is>
      </c>
      <c r="D28" s="7" t="inlineStr">
        <is>
          <t>内容</t>
        </is>
      </c>
      <c r="E28" s="7" t="inlineStr">
        <is>
          <t>敌人 ×3：自爆虫、霜法、火投手</t>
        </is>
      </c>
      <c r="F28" s="7" t="inlineStr">
        <is>
          <t>6 种敌人</t>
        </is>
      </c>
      <c r="G28" s="7" t="inlineStr">
        <is>
          <t>关卡策划</t>
        </is>
      </c>
      <c r="H28" s="7" t="n">
        <v>1.5</v>
      </c>
      <c r="I28" s="7" t="inlineStr">
        <is>
          <t>C09</t>
        </is>
      </c>
      <c r="J28" s="7" t="inlineStr">
        <is>
          <t>W12</t>
        </is>
      </c>
      <c r="K28" s="7" t="inlineStr">
        <is>
          <t>数值与 7.5 一致</t>
        </is>
      </c>
      <c r="L28" s="7" t="inlineStr">
        <is>
          <t>未开始</t>
        </is>
      </c>
    </row>
    <row r="29" ht="34" customHeight="1">
      <c r="A29" s="7" t="inlineStr">
        <is>
          <t>C13</t>
        </is>
      </c>
      <c r="B29" s="7" t="inlineStr">
        <is>
          <t>阶段一</t>
        </is>
      </c>
      <c r="C29" s="7" t="inlineStr">
        <is>
          <t>M3</t>
        </is>
      </c>
      <c r="D29" s="7" t="inlineStr">
        <is>
          <t>内容</t>
        </is>
      </c>
      <c r="E29" s="7" t="inlineStr">
        <is>
          <t>特效/音效 ×30（命中、弹射、接住、技能、UI）</t>
        </is>
      </c>
      <c r="F29" s="7" t="inlineStr">
        <is>
          <t>30 个反馈资源</t>
        </is>
      </c>
      <c r="G29" s="7" t="inlineStr">
        <is>
          <t>动效</t>
        </is>
      </c>
      <c r="H29" s="7" t="n">
        <v>6</v>
      </c>
      <c r="I29" s="7" t="inlineStr">
        <is>
          <t>C03</t>
        </is>
      </c>
      <c r="J29" s="7" t="inlineStr">
        <is>
          <t>W9–12</t>
        </is>
      </c>
      <c r="K29" s="7" t="inlineStr">
        <is>
          <t>接住与弹射反馈清晰可辨；无静音缺省</t>
        </is>
      </c>
      <c r="L29" s="7" t="inlineStr">
        <is>
          <t>未开始</t>
        </is>
      </c>
    </row>
    <row r="30" ht="34" customHeight="1">
      <c r="A30" s="7" t="inlineStr">
        <is>
          <t>S12</t>
        </is>
      </c>
      <c r="B30" s="7" t="inlineStr">
        <is>
          <t>阶段一</t>
        </is>
      </c>
      <c r="C30" s="7" t="inlineStr">
        <is>
          <t>M3</t>
        </is>
      </c>
      <c r="D30" s="7" t="inlineStr">
        <is>
          <t>系统</t>
        </is>
      </c>
      <c r="E30" s="7" t="inlineStr">
        <is>
          <t>无尽模式：波次无限、难度递增、单局魂晶上限</t>
        </is>
      </c>
      <c r="F30" s="7" t="inlineStr">
        <is>
          <t>无尽模式</t>
        </is>
      </c>
      <c r="G30" s="7" t="inlineStr">
        <is>
          <t>客户端A</t>
        </is>
      </c>
      <c r="H30" s="7" t="n">
        <v>1</v>
      </c>
      <c r="I30" s="7" t="inlineStr">
        <is>
          <t>S11</t>
        </is>
      </c>
      <c r="J30" s="7" t="inlineStr">
        <is>
          <t>W12</t>
        </is>
      </c>
      <c r="K30" s="7" t="inlineStr">
        <is>
          <t>单局魂晶 ≤ 20；收益低于同主线时长</t>
        </is>
      </c>
      <c r="L30" s="7" t="inlineStr">
        <is>
          <t>未开始</t>
        </is>
      </c>
    </row>
    <row r="31" ht="34" customHeight="1">
      <c r="A31" s="7" t="inlineStr">
        <is>
          <t>T04</t>
        </is>
      </c>
      <c r="B31" s="7" t="inlineStr">
        <is>
          <t>阶段一</t>
        </is>
      </c>
      <c r="C31" s="7" t="inlineStr">
        <is>
          <t>M3</t>
        </is>
      </c>
      <c r="D31" s="7" t="inlineStr">
        <is>
          <t>调优</t>
        </is>
      </c>
      <c r="E31" s="7" t="inlineStr">
        <is>
          <t>性能优化：对象池、粒子上限、低画质降级</t>
        </is>
      </c>
      <c r="F31" s="7" t="inlineStr">
        <is>
          <t>性能达标版本</t>
        </is>
      </c>
      <c r="G31" s="7" t="inlineStr">
        <is>
          <t>客户端A</t>
        </is>
      </c>
      <c r="H31" s="7" t="n">
        <v>4</v>
      </c>
      <c r="I31" s="7" t="inlineStr">
        <is>
          <t>C08</t>
        </is>
      </c>
      <c r="J31" s="7" t="inlineStr">
        <is>
          <t>W12</t>
        </is>
      </c>
      <c r="K31" s="7" t="inlineStr">
        <is>
          <t>1080p 稳定 60 fps；同屏 260 子弹不掉帧</t>
        </is>
      </c>
      <c r="L31" s="7" t="inlineStr">
        <is>
          <t>未开始</t>
        </is>
      </c>
    </row>
    <row r="32" ht="34" customHeight="1">
      <c r="A32" s="7" t="inlineStr">
        <is>
          <t>T03c</t>
        </is>
      </c>
      <c r="B32" s="7" t="inlineStr">
        <is>
          <t>阶段一</t>
        </is>
      </c>
      <c r="C32" s="7" t="inlineStr">
        <is>
          <t>M3</t>
        </is>
      </c>
      <c r="D32" s="7" t="inlineStr">
        <is>
          <t>调优</t>
        </is>
      </c>
      <c r="E32" s="7" t="inlineStr">
        <is>
          <t>第 3 轮可玩性测试 + 阶段一验收</t>
        </is>
      </c>
      <c r="F32" s="7" t="inlineStr">
        <is>
          <t>阶段一验收报告</t>
        </is>
      </c>
      <c r="G32" s="7" t="inlineStr">
        <is>
          <t>QA</t>
        </is>
      </c>
      <c r="H32" s="7" t="n">
        <v>2</v>
      </c>
      <c r="I32" s="7" t="inlineStr">
        <is>
          <t>S12</t>
        </is>
      </c>
      <c r="J32" s="7" t="inlineStr">
        <is>
          <t>W12</t>
        </is>
      </c>
      <c r="K32" s="7" t="inlineStr">
        <is>
          <t>M3 准出条件全部满足</t>
        </is>
      </c>
      <c r="L32" s="7" t="inlineStr">
        <is>
          <t>未开始</t>
        </is>
      </c>
    </row>
    <row r="33" ht="34" customHeight="1">
      <c r="A33" s="7" t="inlineStr">
        <is>
          <t>T05</t>
        </is>
      </c>
      <c r="B33" s="7" t="inlineStr">
        <is>
          <t>阶段一</t>
        </is>
      </c>
      <c r="C33" s="7" t="inlineStr">
        <is>
          <t>M3</t>
        </is>
      </c>
      <c r="D33" s="7" t="inlineStr">
        <is>
          <t>调优</t>
        </is>
      </c>
      <c r="E33" s="7" t="inlineStr">
        <is>
          <t>Bug 修复与回归缓冲</t>
        </is>
      </c>
      <c r="F33" s="7" t="inlineStr">
        <is>
          <t>可交付的完整版本</t>
        </is>
      </c>
      <c r="G33" s="7" t="inlineStr">
        <is>
          <t>全组</t>
        </is>
      </c>
      <c r="H33" s="7" t="n">
        <v>4</v>
      </c>
      <c r="I33" s="7" t="inlineStr">
        <is>
          <t>T04</t>
        </is>
      </c>
      <c r="J33" s="7" t="inlineStr">
        <is>
          <t>W12</t>
        </is>
      </c>
      <c r="K33" s="7" t="inlineStr">
        <is>
          <t>阻塞与严重级 Bug 清零</t>
        </is>
      </c>
      <c r="L33" s="7" t="inlineStr">
        <is>
          <t>未开始</t>
        </is>
      </c>
    </row>
    <row r="34" ht="34" customHeight="1">
      <c r="A34" s="8" t="inlineStr">
        <is>
          <t>C17</t>
        </is>
      </c>
      <c r="B34" s="8" t="inlineStr">
        <is>
          <t>阶段二</t>
        </is>
      </c>
      <c r="C34" s="8" t="inlineStr">
        <is>
          <t>M4</t>
        </is>
      </c>
      <c r="D34" s="8" t="inlineStr">
        <is>
          <t>内容</t>
        </is>
      </c>
      <c r="E34" s="8" t="inlineStr">
        <is>
          <t>关卡 ×7：第 4–10 关（R=560→680）与三档参数</t>
        </is>
      </c>
      <c r="F34" s="8" t="inlineStr">
        <is>
          <t>10 关全部可玩</t>
        </is>
      </c>
      <c r="G34" s="8" t="inlineStr">
        <is>
          <t>关卡策划</t>
        </is>
      </c>
      <c r="H34" s="8" t="n">
        <v>14</v>
      </c>
      <c r="I34" s="8" t="inlineStr">
        <is>
          <t>C06</t>
        </is>
      </c>
      <c r="J34" s="8" t="inlineStr">
        <is>
          <t>W13–18</t>
        </is>
      </c>
      <c r="K34" s="8" t="inlineStr">
        <is>
          <t>难度曲线符合 6.5；每关地形机制唯一</t>
        </is>
      </c>
      <c r="L34" s="8" t="inlineStr">
        <is>
          <t>未开始</t>
        </is>
      </c>
    </row>
    <row r="35" ht="34" customHeight="1">
      <c r="A35" s="8" t="inlineStr">
        <is>
          <t>C18</t>
        </is>
      </c>
      <c r="B35" s="8" t="inlineStr">
        <is>
          <t>阶段二</t>
        </is>
      </c>
      <c r="C35" s="8" t="inlineStr">
        <is>
          <t>M4</t>
        </is>
      </c>
      <c r="D35" s="8" t="inlineStr">
        <is>
          <t>内容</t>
        </is>
      </c>
      <c r="E35" s="8" t="inlineStr">
        <is>
          <t>BOSS ×7：熔岩领主至终焉之影（各 5–9 技能）</t>
        </is>
      </c>
      <c r="F35" s="8" t="inlineStr">
        <is>
          <t>10 个 BOSS</t>
        </is>
      </c>
      <c r="G35" s="8" t="inlineStr">
        <is>
          <t>关卡策划</t>
        </is>
      </c>
      <c r="H35" s="8" t="n">
        <v>14</v>
      </c>
      <c r="I35" s="8" t="inlineStr">
        <is>
          <t>C08</t>
        </is>
      </c>
      <c r="J35" s="8" t="inlineStr">
        <is>
          <t>W13–18</t>
        </is>
      </c>
      <c r="K35" s="8" t="inlineStr">
        <is>
          <t>复用 6 类技能模板；每个 BOSS 有可被弹射利用的弱点</t>
        </is>
      </c>
      <c r="L35" s="8" t="inlineStr">
        <is>
          <t>未开始</t>
        </is>
      </c>
    </row>
    <row r="36" ht="34" customHeight="1">
      <c r="A36" s="8" t="inlineStr">
        <is>
          <t>C14</t>
        </is>
      </c>
      <c r="B36" s="8" t="inlineStr">
        <is>
          <t>阶段二</t>
        </is>
      </c>
      <c r="C36" s="8" t="inlineStr">
        <is>
          <t>M5</t>
        </is>
      </c>
      <c r="D36" s="8" t="inlineStr">
        <is>
          <t>内容</t>
        </is>
      </c>
      <c r="E36" s="8" t="inlineStr">
        <is>
          <t>角色 ×12（补至 20 名，含 2 名图鉴解锁）</t>
        </is>
      </c>
      <c r="F36" s="8" t="inlineStr">
        <is>
          <t>20 名角色</t>
        </is>
      </c>
      <c r="G36" s="8" t="inlineStr">
        <is>
          <t>系统策划</t>
        </is>
      </c>
      <c r="H36" s="8" t="n">
        <v>6</v>
      </c>
      <c r="I36" s="8" t="inlineStr">
        <is>
          <t>C01</t>
        </is>
      </c>
      <c r="J36" s="8" t="inlineStr">
        <is>
          <t>W16–20</t>
        </is>
      </c>
      <c r="K36" s="8" t="inlineStr">
        <is>
          <t>图鉴角色解锁条件可达；无角色定位冲突</t>
        </is>
      </c>
      <c r="L36" s="8" t="inlineStr">
        <is>
          <t>未开始</t>
        </is>
      </c>
    </row>
    <row r="37" ht="34" customHeight="1">
      <c r="A37" s="8" t="inlineStr">
        <is>
          <t>C15</t>
        </is>
      </c>
      <c r="B37" s="8" t="inlineStr">
        <is>
          <t>阶段二</t>
        </is>
      </c>
      <c r="C37" s="8" t="inlineStr">
        <is>
          <t>M5</t>
        </is>
      </c>
      <c r="D37" s="8" t="inlineStr">
        <is>
          <t>内容</t>
        </is>
      </c>
      <c r="E37" s="8" t="inlineStr">
        <is>
          <t>技能 ×16（补至 36 个）</t>
        </is>
      </c>
      <c r="F37" s="8" t="inlineStr">
        <is>
          <t>36 个技能</t>
        </is>
      </c>
      <c r="G37" s="8" t="inlineStr">
        <is>
          <t>系统策划</t>
        </is>
      </c>
      <c r="H37" s="8" t="n">
        <v>4.8</v>
      </c>
      <c r="I37" s="8" t="inlineStr">
        <is>
          <t>C03</t>
        </is>
      </c>
      <c r="J37" s="8" t="inlineStr">
        <is>
          <t>W16–19</t>
        </is>
      </c>
      <c r="K37" s="8" t="inlineStr">
        <is>
          <t>5 档品质分布 10/10/8/6/2 与 9.x 一致</t>
        </is>
      </c>
      <c r="L37" s="8" t="inlineStr">
        <is>
          <t>未开始</t>
        </is>
      </c>
    </row>
    <row r="38" ht="34" customHeight="1">
      <c r="A38" s="8" t="inlineStr">
        <is>
          <t>C16</t>
        </is>
      </c>
      <c r="B38" s="8" t="inlineStr">
        <is>
          <t>阶段二</t>
        </is>
      </c>
      <c r="C38" s="8" t="inlineStr">
        <is>
          <t>M5</t>
        </is>
      </c>
      <c r="D38" s="8" t="inlineStr">
        <is>
          <t>内容</t>
        </is>
      </c>
      <c r="E38" s="8" t="inlineStr">
        <is>
          <t>融合/进化 ×14（补至 22 条）</t>
        </is>
      </c>
      <c r="F38" s="8" t="inlineStr">
        <is>
          <t>12 融合 + 10 进化</t>
        </is>
      </c>
      <c r="G38" s="8" t="inlineStr">
        <is>
          <t>系统策划</t>
        </is>
      </c>
      <c r="H38" s="8" t="n">
        <v>5.6</v>
      </c>
      <c r="I38" s="8" t="inlineStr">
        <is>
          <t>C04</t>
        </is>
      </c>
      <c r="J38" s="8" t="inlineStr">
        <is>
          <t>W17–20</t>
        </is>
      </c>
      <c r="K38" s="8" t="inlineStr">
        <is>
          <t>配方表完整；无死配方（材料均可获得）</t>
        </is>
      </c>
      <c r="L38" s="8" t="inlineStr">
        <is>
          <t>未开始</t>
        </is>
      </c>
    </row>
    <row r="39" ht="34" customHeight="1">
      <c r="A39" s="8" t="inlineStr">
        <is>
          <t>C19</t>
        </is>
      </c>
      <c r="B39" s="8" t="inlineStr">
        <is>
          <t>阶段二</t>
        </is>
      </c>
      <c r="C39" s="8" t="inlineStr">
        <is>
          <t>M6</t>
        </is>
      </c>
      <c r="D39" s="8" t="inlineStr">
        <is>
          <t>内容</t>
        </is>
      </c>
      <c r="E39" s="8" t="inlineStr">
        <is>
          <t>敌人 ×8（补至 14 名，含 6 名精英）</t>
        </is>
      </c>
      <c r="F39" s="8" t="inlineStr">
        <is>
          <t>14 名敌人</t>
        </is>
      </c>
      <c r="G39" s="8" t="inlineStr">
        <is>
          <t>关卡策划</t>
        </is>
      </c>
      <c r="H39" s="8" t="n">
        <v>4</v>
      </c>
      <c r="I39" s="8" t="inlineStr">
        <is>
          <t>C10</t>
        </is>
      </c>
      <c r="J39" s="8" t="inlineStr">
        <is>
          <t>W19–21</t>
        </is>
      </c>
      <c r="K39" s="8" t="inlineStr">
        <is>
          <t>精英机制与 7.6 一致；品质分布正确</t>
        </is>
      </c>
      <c r="L39" s="8" t="inlineStr">
        <is>
          <t>未开始</t>
        </is>
      </c>
    </row>
    <row r="40" ht="34" customHeight="1">
      <c r="A40" s="8" t="inlineStr">
        <is>
          <t>C20</t>
        </is>
      </c>
      <c r="B40" s="8" t="inlineStr">
        <is>
          <t>阶段二</t>
        </is>
      </c>
      <c r="C40" s="8" t="inlineStr">
        <is>
          <t>M6</t>
        </is>
      </c>
      <c r="D40" s="8" t="inlineStr">
        <is>
          <t>内容</t>
        </is>
      </c>
      <c r="E40" s="8" t="inlineStr">
        <is>
          <t>特效/音效 ×30（BOSS、精英、图鉴、结算）</t>
        </is>
      </c>
      <c r="F40" s="8" t="inlineStr">
        <is>
          <t>60 个反馈资源</t>
        </is>
      </c>
      <c r="G40" s="8" t="inlineStr">
        <is>
          <t>动效</t>
        </is>
      </c>
      <c r="H40" s="8" t="n">
        <v>6</v>
      </c>
      <c r="I40" s="8" t="inlineStr">
        <is>
          <t>C13</t>
        </is>
      </c>
      <c r="J40" s="8" t="inlineStr">
        <is>
          <t>W20–22</t>
        </is>
      </c>
      <c r="K40" s="8" t="inlineStr">
        <is>
          <t>BOSS 技能全覆盖，无借用音效</t>
        </is>
      </c>
      <c r="L40" s="8" t="inlineStr">
        <is>
          <t>未开始</t>
        </is>
      </c>
    </row>
    <row r="41" ht="34" customHeight="1">
      <c r="A41" s="8" t="inlineStr">
        <is>
          <t>S13</t>
        </is>
      </c>
      <c r="B41" s="8" t="inlineStr">
        <is>
          <t>阶段二</t>
        </is>
      </c>
      <c r="C41" s="8" t="inlineStr">
        <is>
          <t>M7</t>
        </is>
      </c>
      <c r="D41" s="8" t="inlineStr">
        <is>
          <t>系统</t>
        </is>
      </c>
      <c r="E41" s="8" t="inlineStr">
        <is>
          <t>云存档与成就接入（Steam API）</t>
        </is>
      </c>
      <c r="F41" s="8" t="inlineStr">
        <is>
          <t>云存档 + 若干成就</t>
        </is>
      </c>
      <c r="G41" s="8" t="inlineStr">
        <is>
          <t>客户端B</t>
        </is>
      </c>
      <c r="H41" s="8" t="n">
        <v>2</v>
      </c>
      <c r="I41" s="8" t="inlineStr">
        <is>
          <t>S11</t>
        </is>
      </c>
      <c r="J41" s="8" t="inlineStr">
        <is>
          <t>W23</t>
        </is>
      </c>
      <c r="K41" s="8" t="inlineStr">
        <is>
          <t>换机可续档；成就解锁条件可验证</t>
        </is>
      </c>
      <c r="L41" s="8" t="inlineStr">
        <is>
          <t>未开始</t>
        </is>
      </c>
    </row>
    <row r="42" ht="34" customHeight="1">
      <c r="A42" s="8" t="inlineStr">
        <is>
          <t>S14</t>
        </is>
      </c>
      <c r="B42" s="8" t="inlineStr">
        <is>
          <t>阶段二</t>
        </is>
      </c>
      <c r="C42" s="8" t="inlineStr">
        <is>
          <t>M7</t>
        </is>
      </c>
      <c r="D42" s="8" t="inlineStr">
        <is>
          <t>系统</t>
        </is>
      </c>
      <c r="E42" s="8" t="inlineStr">
        <is>
          <t>本地化框架（简中 / 英）与文本抽取</t>
        </is>
      </c>
      <c r="F42" s="8" t="inlineStr">
        <is>
          <t>双语版本</t>
        </is>
      </c>
      <c r="G42" s="8" t="inlineStr">
        <is>
          <t>客户端B</t>
        </is>
      </c>
      <c r="H42" s="8" t="n">
        <v>2</v>
      </c>
      <c r="I42" s="8" t="inlineStr">
        <is>
          <t>C12</t>
        </is>
      </c>
      <c r="J42" s="8" t="inlineStr">
        <is>
          <t>W23</t>
        </is>
      </c>
      <c r="K42" s="8" t="inlineStr">
        <is>
          <t>无硬编码中文；切换语言即时生效</t>
        </is>
      </c>
      <c r="L42" s="8" t="inlineStr">
        <is>
          <t>未开始</t>
        </is>
      </c>
    </row>
    <row r="43" ht="34" customHeight="1">
      <c r="A43" s="8" t="inlineStr">
        <is>
          <t>S15</t>
        </is>
      </c>
      <c r="B43" s="8" t="inlineStr">
        <is>
          <t>阶段二</t>
        </is>
      </c>
      <c r="C43" s="8" t="inlineStr">
        <is>
          <t>M7</t>
        </is>
      </c>
      <c r="D43" s="8" t="inlineStr">
        <is>
          <t>系统</t>
        </is>
      </c>
      <c r="E43" s="8" t="inlineStr">
        <is>
          <t>商店页、埋点与统计（通关率/流失点）</t>
        </is>
      </c>
      <c r="F43" s="8" t="inlineStr">
        <is>
          <t>可用的数据回流</t>
        </is>
      </c>
      <c r="G43" s="8" t="inlineStr">
        <is>
          <t>客户端A</t>
        </is>
      </c>
      <c r="H43" s="8" t="n">
        <v>2</v>
      </c>
      <c r="I43" s="8" t="inlineStr">
        <is>
          <t>S13</t>
        </is>
      </c>
      <c r="J43" s="8" t="inlineStr">
        <is>
          <t>W24</t>
        </is>
      </c>
      <c r="K43" s="8" t="inlineStr">
        <is>
          <t>关键路径埋点覆盖 6.5 全部指标</t>
        </is>
      </c>
      <c r="L43" s="8" t="inlineStr">
        <is>
          <t>未开始</t>
        </is>
      </c>
    </row>
    <row r="44" ht="34" customHeight="1">
      <c r="A44" s="8" t="inlineStr">
        <is>
          <t>T06</t>
        </is>
      </c>
      <c r="B44" s="8" t="inlineStr">
        <is>
          <t>阶段二</t>
        </is>
      </c>
      <c r="C44" s="8" t="inlineStr">
        <is>
          <t>M7</t>
        </is>
      </c>
      <c r="D44" s="8" t="inlineStr">
        <is>
          <t>调优</t>
        </is>
      </c>
      <c r="E44" s="8" t="inlineStr">
        <is>
          <t>数值调优：经济收支、难度曲线、技能强弱</t>
        </is>
      </c>
      <c r="F44" s="8" t="inlineStr">
        <is>
          <t>平衡性终版</t>
        </is>
      </c>
      <c r="G44" s="8" t="inlineStr">
        <is>
          <t>主策</t>
        </is>
      </c>
      <c r="H44" s="8" t="n">
        <v>8</v>
      </c>
      <c r="I44" s="8" t="inlineStr">
        <is>
          <t>C19</t>
        </is>
      </c>
      <c r="J44" s="8" t="inlineStr">
        <is>
          <t>W22–24</t>
        </is>
      </c>
      <c r="K44" s="8" t="inlineStr">
        <is>
          <t>30 单元全通时长落在目标区间；金币/魂晶收支符合 8.3</t>
        </is>
      </c>
      <c r="L44" s="8" t="inlineStr">
        <is>
          <t>未开始</t>
        </is>
      </c>
    </row>
    <row r="45" ht="34" customHeight="1">
      <c r="A45" s="8" t="inlineStr">
        <is>
          <t>T07</t>
        </is>
      </c>
      <c r="B45" s="8" t="inlineStr">
        <is>
          <t>阶段二</t>
        </is>
      </c>
      <c r="C45" s="8" t="inlineStr">
        <is>
          <t>M7</t>
        </is>
      </c>
      <c r="D45" s="8" t="inlineStr">
        <is>
          <t>调优</t>
        </is>
      </c>
      <c r="E45" s="8" t="inlineStr">
        <is>
          <t>兼容性：Steam Deck Verified、手柄、多分辨率</t>
        </is>
      </c>
      <c r="F45" s="8" t="inlineStr">
        <is>
          <t>兼容性报告</t>
        </is>
      </c>
      <c r="G45" s="8" t="inlineStr">
        <is>
          <t>客户端A</t>
        </is>
      </c>
      <c r="H45" s="8" t="n">
        <v>4</v>
      </c>
      <c r="I45" s="8" t="inlineStr">
        <is>
          <t>S15</t>
        </is>
      </c>
      <c r="J45" s="8" t="inlineStr">
        <is>
          <t>W23–24</t>
        </is>
      </c>
      <c r="K45" s="8" t="inlineStr">
        <is>
          <t>Deck 上 40 fps 以上；手柄全流程可用</t>
        </is>
      </c>
      <c r="L45" s="8" t="inlineStr">
        <is>
          <t>未开始</t>
        </is>
      </c>
    </row>
    <row r="46" ht="34" customHeight="1">
      <c r="A46" s="8" t="inlineStr">
        <is>
          <t>T08</t>
        </is>
      </c>
      <c r="B46" s="8" t="inlineStr">
        <is>
          <t>阶段二</t>
        </is>
      </c>
      <c r="C46" s="8" t="inlineStr">
        <is>
          <t>M7</t>
        </is>
      </c>
      <c r="D46" s="8" t="inlineStr">
        <is>
          <t>调优</t>
        </is>
      </c>
      <c r="E46" s="8" t="inlineStr">
        <is>
          <t>Demo 打磨：前 3 关体验与转化点</t>
        </is>
      </c>
      <c r="F46" s="8" t="inlineStr">
        <is>
          <t>可发布 Demo</t>
        </is>
      </c>
      <c r="G46" s="8" t="inlineStr">
        <is>
          <t>主策</t>
        </is>
      </c>
      <c r="H46" s="8" t="n">
        <v>4</v>
      </c>
      <c r="I46" s="8" t="inlineStr">
        <is>
          <t>T06</t>
        </is>
      </c>
      <c r="J46" s="8" t="inlineStr">
        <is>
          <t>W23–24</t>
        </is>
      </c>
      <c r="K46" s="8" t="inlineStr">
        <is>
          <t>Demo 转化率 ≥ 12%（内测样本）</t>
        </is>
      </c>
      <c r="L46" s="8" t="inlineStr">
        <is>
          <t>未开始</t>
        </is>
      </c>
    </row>
    <row r="47" ht="34" customHeight="1">
      <c r="A47" s="8" t="inlineStr">
        <is>
          <t>T09</t>
        </is>
      </c>
      <c r="B47" s="8" t="inlineStr">
        <is>
          <t>阶段二</t>
        </is>
      </c>
      <c r="C47" s="8" t="inlineStr">
        <is>
          <t>M7</t>
        </is>
      </c>
      <c r="D47" s="8" t="inlineStr">
        <is>
          <t>调优</t>
        </is>
      </c>
      <c r="E47" s="8" t="inlineStr">
        <is>
          <t>本地化文本翻译与校对</t>
        </is>
      </c>
      <c r="F47" s="8" t="inlineStr">
        <is>
          <t>中英文本终稿</t>
        </is>
      </c>
      <c r="G47" s="8" t="inlineStr">
        <is>
          <t>制作人</t>
        </is>
      </c>
      <c r="H47" s="8" t="n">
        <v>3</v>
      </c>
      <c r="I47" s="8" t="inlineStr">
        <is>
          <t>S14</t>
        </is>
      </c>
      <c r="J47" s="8" t="inlineStr">
        <is>
          <t>W24</t>
        </is>
      </c>
      <c r="K47" s="8" t="inlineStr">
        <is>
          <t>无漏翻、无串行</t>
        </is>
      </c>
      <c r="L47" s="8" t="inlineStr">
        <is>
          <t>未开始</t>
        </is>
      </c>
    </row>
    <row r="48" ht="34" customHeight="1">
      <c r="A48" s="8" t="inlineStr">
        <is>
          <t>T10</t>
        </is>
      </c>
      <c r="B48" s="8" t="inlineStr">
        <is>
          <t>阶段二</t>
        </is>
      </c>
      <c r="C48" s="8" t="inlineStr">
        <is>
          <t>M7</t>
        </is>
      </c>
      <c r="D48" s="8" t="inlineStr">
        <is>
          <t>调优</t>
        </is>
      </c>
      <c r="E48" s="8" t="inlineStr">
        <is>
          <t>商店素材：主视觉、截图、预告片剪辑</t>
        </is>
      </c>
      <c r="F48" s="8" t="inlineStr">
        <is>
          <t>上架素材包</t>
        </is>
      </c>
      <c r="G48" s="8" t="inlineStr">
        <is>
          <t>美术A</t>
        </is>
      </c>
      <c r="H48" s="8" t="n">
        <v>4</v>
      </c>
      <c r="I48" s="8" t="inlineStr">
        <is>
          <t>C20</t>
        </is>
      </c>
      <c r="J48" s="8" t="inlineStr">
        <is>
          <t>W23–24</t>
        </is>
      </c>
      <c r="K48" s="8" t="inlineStr">
        <is>
          <t>符合 Steam 素材规格；至少有 1 张弹射特写</t>
        </is>
      </c>
      <c r="L48" s="8" t="inlineStr">
        <is>
          <t>未开始</t>
        </is>
      </c>
    </row>
    <row r="49" ht="34" customHeight="1">
      <c r="A49" s="8" t="inlineStr">
        <is>
          <t>T11</t>
        </is>
      </c>
      <c r="B49" s="8" t="inlineStr">
        <is>
          <t>阶段二</t>
        </is>
      </c>
      <c r="C49" s="8" t="inlineStr">
        <is>
          <t>M7</t>
        </is>
      </c>
      <c r="D49" s="8" t="inlineStr">
        <is>
          <t>调优</t>
        </is>
      </c>
      <c r="E49" s="8" t="inlineStr">
        <is>
          <t>上线回归测试（全量用例）</t>
        </is>
      </c>
      <c r="F49" s="8" t="inlineStr">
        <is>
          <t>回归通过报告</t>
        </is>
      </c>
      <c r="G49" s="8" t="inlineStr">
        <is>
          <t>QA</t>
        </is>
      </c>
      <c r="H49" s="8" t="n">
        <v>4</v>
      </c>
      <c r="I49" s="8" t="inlineStr">
        <is>
          <t>T06</t>
        </is>
      </c>
      <c r="J49" s="8" t="inlineStr">
        <is>
          <t>W24</t>
        </is>
      </c>
      <c r="K49" s="8" t="inlineStr">
        <is>
          <t>崩溃率 &lt; 0.5%；无阻断流程</t>
        </is>
      </c>
      <c r="L49" s="8" t="inlineStr">
        <is>
          <t>未开始</t>
        </is>
      </c>
    </row>
    <row r="50" ht="34" customHeight="1">
      <c r="A50" s="8" t="inlineStr">
        <is>
          <t>T12</t>
        </is>
      </c>
      <c r="B50" s="8" t="inlineStr">
        <is>
          <t>阶段二</t>
        </is>
      </c>
      <c r="C50" s="8" t="inlineStr">
        <is>
          <t>M7</t>
        </is>
      </c>
      <c r="D50" s="8" t="inlineStr">
        <is>
          <t>调优</t>
        </is>
      </c>
      <c r="E50" s="8" t="inlineStr">
        <is>
          <t>发行缓冲</t>
        </is>
      </c>
      <c r="F50" s="8" t="inlineStr">
        <is>
          <t>—</t>
        </is>
      </c>
      <c r="G50" s="8" t="inlineStr">
        <is>
          <t>全组</t>
        </is>
      </c>
      <c r="H50" s="8" t="n">
        <v>3</v>
      </c>
      <c r="I50" s="8" t="inlineStr">
        <is>
          <t>T11</t>
        </is>
      </c>
      <c r="J50" s="8" t="inlineStr">
        <is>
          <t>W24</t>
        </is>
      </c>
      <c r="K50" s="8" t="inlineStr">
        <is>
          <t>预留，不占用关键路径</t>
        </is>
      </c>
      <c r="L50" s="8" t="inlineStr">
        <is>
          <t>未开始</t>
        </is>
      </c>
    </row>
    <row r="51">
      <c r="A51" s="9" t="inlineStr">
        <is>
          <t>合计</t>
        </is>
      </c>
      <c r="B51" s="10" t="n"/>
      <c r="C51" s="10" t="n"/>
      <c r="D51" s="10" t="n"/>
      <c r="E51" s="9" t="inlineStr">
        <is>
          <t>49 项任务</t>
        </is>
      </c>
      <c r="F51" s="10" t="n"/>
      <c r="G51" s="10" t="n"/>
      <c r="H51" s="9">
        <f>SUM(H2:H50)</f>
        <v/>
      </c>
      <c r="I51" s="10" t="n"/>
      <c r="J51" s="10" t="n"/>
      <c r="K51" s="11" t="inlineStr">
        <is>
          <t>策划案 16.5：190 人日</t>
        </is>
      </c>
      <c r="L51" s="10" t="n"/>
    </row>
  </sheetData>
  <autoFilter ref="A1:L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11" customWidth="1" min="4" max="4"/>
    <col width="12" customWidth="1" min="5" max="5"/>
    <col width="11" customWidth="1" min="6" max="6"/>
    <col width="13" customWidth="1" min="7" max="7"/>
    <col width="10" customWidth="1" min="8" max="8"/>
  </cols>
  <sheetData>
    <row r="1" ht="34" customHeight="1">
      <c r="A1" s="6" t="inlineStr">
        <is>
          <t>周</t>
        </is>
      </c>
      <c r="B1" s="6" t="inlineStr">
        <is>
          <t>起始日</t>
        </is>
      </c>
      <c r="C1" s="6" t="inlineStr">
        <is>
          <t>里程碑</t>
        </is>
      </c>
      <c r="D1" s="6" t="inlineStr">
        <is>
          <t>WBS 人日</t>
        </is>
      </c>
      <c r="E1" s="6" t="inlineStr">
        <is>
          <t>抛光/缓冲</t>
        </is>
      </c>
      <c r="F1" s="6" t="inlineStr">
        <is>
          <t>合计人日</t>
        </is>
      </c>
      <c r="G1" s="6" t="inlineStr">
        <is>
          <t>容量(8人×5)</t>
        </is>
      </c>
      <c r="H1" s="6" t="inlineStr">
        <is>
          <t>负载率</t>
        </is>
      </c>
    </row>
    <row r="2">
      <c r="A2" s="12" t="inlineStr">
        <is>
          <t>W1</t>
        </is>
      </c>
      <c r="B2" s="12" t="inlineStr">
        <is>
          <t>2026-10-26</t>
        </is>
      </c>
      <c r="C2" s="12" t="inlineStr">
        <is>
          <t>M0</t>
        </is>
      </c>
      <c r="D2" s="12" t="n">
        <v>5</v>
      </c>
      <c r="E2" s="12" t="n">
        <v>35</v>
      </c>
      <c r="F2" s="12">
        <f>D2+E2</f>
        <v/>
      </c>
      <c r="G2" s="12" t="n">
        <v>40</v>
      </c>
      <c r="H2" s="13">
        <f>D2/G2</f>
        <v/>
      </c>
    </row>
    <row r="3">
      <c r="A3" s="12" t="inlineStr">
        <is>
          <t>W2</t>
        </is>
      </c>
      <c r="B3" s="12" t="inlineStr">
        <is>
          <t>2026-11-02</t>
        </is>
      </c>
      <c r="C3" s="12" t="inlineStr">
        <is>
          <t>M0</t>
        </is>
      </c>
      <c r="D3" s="12" t="n">
        <v>6</v>
      </c>
      <c r="E3" s="12" t="n">
        <v>34</v>
      </c>
      <c r="F3" s="12">
        <f>D3+E3</f>
        <v/>
      </c>
      <c r="G3" s="12" t="n">
        <v>40</v>
      </c>
      <c r="H3" s="13">
        <f>D3/G3</f>
        <v/>
      </c>
    </row>
    <row r="4">
      <c r="A4" s="12" t="inlineStr">
        <is>
          <t>W3</t>
        </is>
      </c>
      <c r="B4" s="12" t="inlineStr">
        <is>
          <t>2026-11-09</t>
        </is>
      </c>
      <c r="C4" s="12" t="inlineStr">
        <is>
          <t>M1</t>
        </is>
      </c>
      <c r="D4" s="12" t="n">
        <v>8.5</v>
      </c>
      <c r="E4" s="12" t="n">
        <v>31.5</v>
      </c>
      <c r="F4" s="12">
        <f>D4+E4</f>
        <v/>
      </c>
      <c r="G4" s="12" t="n">
        <v>40</v>
      </c>
      <c r="H4" s="13">
        <f>D4/G4</f>
        <v/>
      </c>
    </row>
    <row r="5">
      <c r="A5" s="12" t="inlineStr">
        <is>
          <t>W4</t>
        </is>
      </c>
      <c r="B5" s="12" t="inlineStr">
        <is>
          <t>2026-11-16</t>
        </is>
      </c>
      <c r="C5" s="12" t="inlineStr">
        <is>
          <t>M1</t>
        </is>
      </c>
      <c r="D5" s="12" t="n">
        <v>12</v>
      </c>
      <c r="E5" s="12" t="n">
        <v>28</v>
      </c>
      <c r="F5" s="12">
        <f>D5+E5</f>
        <v/>
      </c>
      <c r="G5" s="12" t="n">
        <v>40</v>
      </c>
      <c r="H5" s="13">
        <f>D5/G5</f>
        <v/>
      </c>
    </row>
    <row r="6">
      <c r="A6" s="12" t="inlineStr">
        <is>
          <t>W5</t>
        </is>
      </c>
      <c r="B6" s="12" t="inlineStr">
        <is>
          <t>2026-11-23</t>
        </is>
      </c>
      <c r="C6" s="12" t="inlineStr">
        <is>
          <t>M1</t>
        </is>
      </c>
      <c r="D6" s="12" t="n">
        <v>7.5</v>
      </c>
      <c r="E6" s="12" t="n">
        <v>32.5</v>
      </c>
      <c r="F6" s="12">
        <f>D6+E6</f>
        <v/>
      </c>
      <c r="G6" s="12" t="n">
        <v>40</v>
      </c>
      <c r="H6" s="13">
        <f>D6/G6</f>
        <v/>
      </c>
    </row>
    <row r="7">
      <c r="A7" s="12" t="inlineStr">
        <is>
          <t>W6</t>
        </is>
      </c>
      <c r="B7" s="12" t="inlineStr">
        <is>
          <t>2026-11-30</t>
        </is>
      </c>
      <c r="C7" s="12" t="inlineStr">
        <is>
          <t>M2</t>
        </is>
      </c>
      <c r="D7" s="12" t="n">
        <v>5</v>
      </c>
      <c r="E7" s="12" t="n">
        <v>35</v>
      </c>
      <c r="F7" s="12">
        <f>D7+E7</f>
        <v/>
      </c>
      <c r="G7" s="12" t="n">
        <v>40</v>
      </c>
      <c r="H7" s="13">
        <f>D7/G7</f>
        <v/>
      </c>
    </row>
    <row r="8">
      <c r="A8" s="12" t="inlineStr">
        <is>
          <t>W7</t>
        </is>
      </c>
      <c r="B8" s="12" t="inlineStr">
        <is>
          <t>2026-12-07</t>
        </is>
      </c>
      <c r="C8" s="12" t="inlineStr">
        <is>
          <t>M2</t>
        </is>
      </c>
      <c r="D8" s="12" t="n">
        <v>4.5</v>
      </c>
      <c r="E8" s="12" t="n">
        <v>35.5</v>
      </c>
      <c r="F8" s="12">
        <f>D8+E8</f>
        <v/>
      </c>
      <c r="G8" s="12" t="n">
        <v>40</v>
      </c>
      <c r="H8" s="13">
        <f>D8/G8</f>
        <v/>
      </c>
    </row>
    <row r="9">
      <c r="A9" s="12" t="inlineStr">
        <is>
          <t>W8</t>
        </is>
      </c>
      <c r="B9" s="12" t="inlineStr">
        <is>
          <t>2026-12-14</t>
        </is>
      </c>
      <c r="C9" s="12" t="inlineStr">
        <is>
          <t>M2</t>
        </is>
      </c>
      <c r="D9" s="12" t="n">
        <v>9.1</v>
      </c>
      <c r="E9" s="12" t="n">
        <v>30.9</v>
      </c>
      <c r="F9" s="12">
        <f>D9+E9</f>
        <v/>
      </c>
      <c r="G9" s="12" t="n">
        <v>40</v>
      </c>
      <c r="H9" s="13">
        <f>D9/G9</f>
        <v/>
      </c>
    </row>
    <row r="10">
      <c r="A10" s="12" t="inlineStr">
        <is>
          <t>W9</t>
        </is>
      </c>
      <c r="B10" s="12" t="inlineStr">
        <is>
          <t>2026-12-21</t>
        </is>
      </c>
      <c r="C10" s="12" t="inlineStr">
        <is>
          <t>M2</t>
        </is>
      </c>
      <c r="D10" s="12" t="n">
        <v>9.6</v>
      </c>
      <c r="E10" s="12" t="n">
        <v>30.4</v>
      </c>
      <c r="F10" s="12">
        <f>D10+E10</f>
        <v/>
      </c>
      <c r="G10" s="12" t="n">
        <v>40</v>
      </c>
      <c r="H10" s="13">
        <f>D10/G10</f>
        <v/>
      </c>
    </row>
    <row r="11">
      <c r="A11" s="12" t="inlineStr">
        <is>
          <t>W10</t>
        </is>
      </c>
      <c r="B11" s="12" t="inlineStr">
        <is>
          <t>2026-12-28</t>
        </is>
      </c>
      <c r="C11" s="12" t="inlineStr">
        <is>
          <t>M3</t>
        </is>
      </c>
      <c r="D11" s="12" t="n">
        <v>7.4</v>
      </c>
      <c r="E11" s="12" t="n">
        <v>32.6</v>
      </c>
      <c r="F11" s="12">
        <f>D11+E11</f>
        <v/>
      </c>
      <c r="G11" s="12" t="n">
        <v>40</v>
      </c>
      <c r="H11" s="13">
        <f>D11/G11</f>
        <v/>
      </c>
    </row>
    <row r="12">
      <c r="A12" s="12" t="inlineStr">
        <is>
          <t>W11</t>
        </is>
      </c>
      <c r="B12" s="12" t="inlineStr">
        <is>
          <t>2027-01-04</t>
        </is>
      </c>
      <c r="C12" s="12" t="inlineStr">
        <is>
          <t>M3</t>
        </is>
      </c>
      <c r="D12" s="12" t="n">
        <v>8.300000000000001</v>
      </c>
      <c r="E12" s="12" t="n">
        <v>31.7</v>
      </c>
      <c r="F12" s="12">
        <f>D12+E12</f>
        <v/>
      </c>
      <c r="G12" s="12" t="n">
        <v>40</v>
      </c>
      <c r="H12" s="13">
        <f>D12/G12</f>
        <v/>
      </c>
    </row>
    <row r="13">
      <c r="A13" s="12" t="inlineStr">
        <is>
          <t>W12</t>
        </is>
      </c>
      <c r="B13" s="12" t="inlineStr">
        <is>
          <t>2027-01-11</t>
        </is>
      </c>
      <c r="C13" s="12" t="inlineStr">
        <is>
          <t>M3</t>
        </is>
      </c>
      <c r="D13" s="12" t="n">
        <v>17.3</v>
      </c>
      <c r="E13" s="12" t="n">
        <v>22.7</v>
      </c>
      <c r="F13" s="12">
        <f>D13+E13</f>
        <v/>
      </c>
      <c r="G13" s="12" t="n">
        <v>40</v>
      </c>
      <c r="H13" s="13">
        <f>D13/G13</f>
        <v/>
      </c>
    </row>
    <row r="14">
      <c r="A14" s="12" t="inlineStr">
        <is>
          <t>W13</t>
        </is>
      </c>
      <c r="B14" s="12" t="inlineStr">
        <is>
          <t>2027-01-18</t>
        </is>
      </c>
      <c r="C14" s="12" t="inlineStr">
        <is>
          <t>M4</t>
        </is>
      </c>
      <c r="D14" s="12" t="n">
        <v>4.7</v>
      </c>
      <c r="E14" s="12" t="n">
        <v>35.3</v>
      </c>
      <c r="F14" s="12">
        <f>D14+E14</f>
        <v/>
      </c>
      <c r="G14" s="12" t="n">
        <v>40</v>
      </c>
      <c r="H14" s="13">
        <f>D14/G14</f>
        <v/>
      </c>
    </row>
    <row r="15">
      <c r="A15" s="12" t="inlineStr">
        <is>
          <t>W14</t>
        </is>
      </c>
      <c r="B15" s="12" t="inlineStr">
        <is>
          <t>2027-01-25</t>
        </is>
      </c>
      <c r="C15" s="12" t="inlineStr">
        <is>
          <t>M4</t>
        </is>
      </c>
      <c r="D15" s="12" t="n">
        <v>4.7</v>
      </c>
      <c r="E15" s="12" t="n">
        <v>35.3</v>
      </c>
      <c r="F15" s="12">
        <f>D15+E15</f>
        <v/>
      </c>
      <c r="G15" s="12" t="n">
        <v>40</v>
      </c>
      <c r="H15" s="13">
        <f>D15/G15</f>
        <v/>
      </c>
    </row>
    <row r="16">
      <c r="A16" s="12" t="inlineStr">
        <is>
          <t>W15</t>
        </is>
      </c>
      <c r="B16" s="12" t="inlineStr">
        <is>
          <t>2027-02-01</t>
        </is>
      </c>
      <c r="C16" s="12" t="inlineStr">
        <is>
          <t>M4</t>
        </is>
      </c>
      <c r="D16" s="12" t="n">
        <v>4.7</v>
      </c>
      <c r="E16" s="12" t="n">
        <v>35.3</v>
      </c>
      <c r="F16" s="12">
        <f>D16+E16</f>
        <v/>
      </c>
      <c r="G16" s="12" t="n">
        <v>40</v>
      </c>
      <c r="H16" s="13">
        <f>D16/G16</f>
        <v/>
      </c>
    </row>
    <row r="17">
      <c r="A17" s="12" t="inlineStr">
        <is>
          <t>W16</t>
        </is>
      </c>
      <c r="B17" s="12" t="inlineStr">
        <is>
          <t>2027-02-08</t>
        </is>
      </c>
      <c r="C17" s="12" t="inlineStr">
        <is>
          <t>M5</t>
        </is>
      </c>
      <c r="D17" s="12" t="n">
        <v>7.1</v>
      </c>
      <c r="E17" s="12" t="n">
        <v>32.9</v>
      </c>
      <c r="F17" s="12">
        <f>D17+E17</f>
        <v/>
      </c>
      <c r="G17" s="12" t="n">
        <v>40</v>
      </c>
      <c r="H17" s="13">
        <f>D17/G17</f>
        <v/>
      </c>
    </row>
    <row r="18">
      <c r="A18" s="12" t="inlineStr">
        <is>
          <t>W17</t>
        </is>
      </c>
      <c r="B18" s="12" t="inlineStr">
        <is>
          <t>2027-02-15</t>
        </is>
      </c>
      <c r="C18" s="12" t="inlineStr">
        <is>
          <t>M5</t>
        </is>
      </c>
      <c r="D18" s="12" t="n">
        <v>8.5</v>
      </c>
      <c r="E18" s="12" t="n">
        <v>31.5</v>
      </c>
      <c r="F18" s="12">
        <f>D18+E18</f>
        <v/>
      </c>
      <c r="G18" s="12" t="n">
        <v>40</v>
      </c>
      <c r="H18" s="13">
        <f>D18/G18</f>
        <v/>
      </c>
    </row>
    <row r="19">
      <c r="A19" s="12" t="inlineStr">
        <is>
          <t>W18</t>
        </is>
      </c>
      <c r="B19" s="12" t="inlineStr">
        <is>
          <t>2027-02-22</t>
        </is>
      </c>
      <c r="C19" s="12" t="inlineStr">
        <is>
          <t>M5</t>
        </is>
      </c>
      <c r="D19" s="12" t="n">
        <v>8.5</v>
      </c>
      <c r="E19" s="12" t="n">
        <v>31.5</v>
      </c>
      <c r="F19" s="12">
        <f>D19+E19</f>
        <v/>
      </c>
      <c r="G19" s="12" t="n">
        <v>40</v>
      </c>
      <c r="H19" s="13">
        <f>D19/G19</f>
        <v/>
      </c>
    </row>
    <row r="20">
      <c r="A20" s="12" t="inlineStr">
        <is>
          <t>W19</t>
        </is>
      </c>
      <c r="B20" s="12" t="inlineStr">
        <is>
          <t>2027-03-01</t>
        </is>
      </c>
      <c r="C20" s="12" t="inlineStr">
        <is>
          <t>M5</t>
        </is>
      </c>
      <c r="D20" s="12" t="n">
        <v>5.1</v>
      </c>
      <c r="E20" s="12" t="n">
        <v>34.9</v>
      </c>
      <c r="F20" s="12">
        <f>D20+E20</f>
        <v/>
      </c>
      <c r="G20" s="12" t="n">
        <v>40</v>
      </c>
      <c r="H20" s="13">
        <f>D20/G20</f>
        <v/>
      </c>
    </row>
    <row r="21">
      <c r="A21" s="12" t="inlineStr">
        <is>
          <t>W20</t>
        </is>
      </c>
      <c r="B21" s="12" t="inlineStr">
        <is>
          <t>2027-03-08</t>
        </is>
      </c>
      <c r="C21" s="12" t="inlineStr">
        <is>
          <t>M6</t>
        </is>
      </c>
      <c r="D21" s="12" t="n">
        <v>5.9</v>
      </c>
      <c r="E21" s="12" t="n">
        <v>34.1</v>
      </c>
      <c r="F21" s="12">
        <f>D21+E21</f>
        <v/>
      </c>
      <c r="G21" s="12" t="n">
        <v>40</v>
      </c>
      <c r="H21" s="13">
        <f>D21/G21</f>
        <v/>
      </c>
    </row>
    <row r="22">
      <c r="A22" s="12" t="inlineStr">
        <is>
          <t>W21</t>
        </is>
      </c>
      <c r="B22" s="12" t="inlineStr">
        <is>
          <t>2027-03-15</t>
        </is>
      </c>
      <c r="C22" s="12" t="inlineStr">
        <is>
          <t>M6</t>
        </is>
      </c>
      <c r="D22" s="12" t="n">
        <v>3.3</v>
      </c>
      <c r="E22" s="12" t="n">
        <v>36.7</v>
      </c>
      <c r="F22" s="12">
        <f>D22+E22</f>
        <v/>
      </c>
      <c r="G22" s="12" t="n">
        <v>40</v>
      </c>
      <c r="H22" s="13">
        <f>D22/G22</f>
        <v/>
      </c>
    </row>
    <row r="23">
      <c r="A23" s="12" t="inlineStr">
        <is>
          <t>W22</t>
        </is>
      </c>
      <c r="B23" s="12" t="inlineStr">
        <is>
          <t>2027-03-22</t>
        </is>
      </c>
      <c r="C23" s="12" t="inlineStr">
        <is>
          <t>M6</t>
        </is>
      </c>
      <c r="D23" s="12" t="n">
        <v>4.7</v>
      </c>
      <c r="E23" s="12" t="n">
        <v>35.3</v>
      </c>
      <c r="F23" s="12">
        <f>D23+E23</f>
        <v/>
      </c>
      <c r="G23" s="12" t="n">
        <v>40</v>
      </c>
      <c r="H23" s="13">
        <f>D23/G23</f>
        <v/>
      </c>
    </row>
    <row r="24">
      <c r="A24" s="12" t="inlineStr">
        <is>
          <t>W23</t>
        </is>
      </c>
      <c r="B24" s="12" t="inlineStr">
        <is>
          <t>2027-03-29</t>
        </is>
      </c>
      <c r="C24" s="12" t="inlineStr">
        <is>
          <t>M7</t>
        </is>
      </c>
      <c r="D24" s="12" t="n">
        <v>12.7</v>
      </c>
      <c r="E24" s="12" t="n">
        <v>27.3</v>
      </c>
      <c r="F24" s="12">
        <f>D24+E24</f>
        <v/>
      </c>
      <c r="G24" s="12" t="n">
        <v>40</v>
      </c>
      <c r="H24" s="13">
        <f>D24/G24</f>
        <v/>
      </c>
    </row>
    <row r="25">
      <c r="A25" s="12" t="inlineStr">
        <is>
          <t>W24</t>
        </is>
      </c>
      <c r="B25" s="12" t="inlineStr">
        <is>
          <t>2027-04-05</t>
        </is>
      </c>
      <c r="C25" s="12" t="inlineStr">
        <is>
          <t>M7</t>
        </is>
      </c>
      <c r="D25" s="12" t="n">
        <v>20.7</v>
      </c>
      <c r="E25" s="12" t="n">
        <v>19.3</v>
      </c>
      <c r="F25" s="12">
        <f>D25+E25</f>
        <v/>
      </c>
      <c r="G25" s="12" t="n">
        <v>40</v>
      </c>
      <c r="H25" s="13">
        <f>D25/G25</f>
        <v/>
      </c>
    </row>
    <row r="26">
      <c r="A26" s="9" t="inlineStr">
        <is>
          <t>合计</t>
        </is>
      </c>
      <c r="B26" s="10" t="n"/>
      <c r="C26" s="10" t="n"/>
      <c r="D26" s="9">
        <f>SUM(D2:D25)</f>
        <v/>
      </c>
      <c r="E26" s="9">
        <f>SUM(E2:E25)</f>
        <v/>
      </c>
      <c r="F26" s="9">
        <f>SUM(F2:F25)</f>
        <v/>
      </c>
      <c r="G26" s="9">
        <f>40*24</f>
        <v/>
      </c>
      <c r="H26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7" customWidth="1" min="3" max="3"/>
    <col width="24" customWidth="1" min="4" max="4"/>
    <col width="52" customWidth="1" min="5" max="5"/>
    <col width="18" customWidth="1" min="6" max="6"/>
    <col width="30" customWidth="1" min="7" max="7"/>
  </cols>
  <sheetData>
    <row r="1" ht="32" customHeight="1">
      <c r="A1" s="6" t="inlineStr">
        <is>
          <t>里程碑</t>
        </is>
      </c>
      <c r="B1" s="6" t="inlineStr">
        <is>
          <t>周次</t>
        </is>
      </c>
      <c r="C1" s="6" t="inlineStr">
        <is>
          <t>名称</t>
        </is>
      </c>
      <c r="D1" s="6" t="inlineStr">
        <is>
          <t>目标</t>
        </is>
      </c>
      <c r="E1" s="6" t="inlineStr">
        <is>
          <t>准出条件</t>
        </is>
      </c>
      <c r="F1" s="6" t="inlineStr">
        <is>
          <t>评审人</t>
        </is>
      </c>
      <c r="G1" s="6" t="inlineStr">
        <is>
          <t>不通过时的处置</t>
        </is>
      </c>
    </row>
    <row r="2" ht="62" customHeight="1">
      <c r="A2" s="12" t="inlineStr">
        <is>
          <t>M0</t>
        </is>
      </c>
      <c r="B2" s="12" t="inlineStr">
        <is>
          <t>W1–W2</t>
        </is>
      </c>
      <c r="C2" s="12" t="inlineStr">
        <is>
          <t>原型</t>
        </is>
      </c>
      <c r="D2" s="12" t="inlineStr">
        <is>
          <t>单角色、单地图、弹丸循环可玩</t>
        </is>
      </c>
      <c r="E2" s="12" t="inlineStr">
        <is>
          <t>① 圆形场地内可完成“发射—弹射—接住”连续 5 分钟
② 弹丸槽状态无错乱
③ 三种分辨率不裁切</t>
        </is>
      </c>
      <c r="F2" s="12" t="inlineStr">
        <is>
          <t>主策 + 程序 + 美术</t>
        </is>
      </c>
      <c r="G2" s="12" t="inlineStr">
        <is>
          <t>手感不成立则停下重调，不做系统扩展</t>
        </is>
      </c>
    </row>
    <row r="3" ht="62" customHeight="1">
      <c r="A3" s="12" t="inlineStr">
        <is>
          <t>M1</t>
        </is>
      </c>
      <c r="B3" s="12" t="inlineStr">
        <is>
          <t>W3–W5</t>
        </is>
      </c>
      <c r="C3" s="12" t="inlineStr">
        <is>
          <t>系统骨架</t>
        </is>
      </c>
      <c r="D3" s="12" t="inlineStr">
        <is>
          <t>三档难度、升级、1 关 1 BOSS</t>
        </is>
      </c>
      <c r="E3" s="12" t="inlineStr">
        <is>
          <t>① 第 1 关三档难度均可通关
② 三档通关率差值 ≥ 30 个百分点
③ 三选一无重复/无死锁</t>
        </is>
      </c>
      <c r="F3" s="12" t="inlineStr">
        <is>
          <t>主策 + QA</t>
        </is>
      </c>
      <c r="G3" s="12" t="inlineStr">
        <is>
          <t>难度差异不可感知则改数值表，不动系统</t>
        </is>
      </c>
    </row>
    <row r="4" ht="62" customHeight="1">
      <c r="A4" s="12" t="inlineStr">
        <is>
          <t>M2</t>
        </is>
      </c>
      <c r="B4" s="12" t="inlineStr">
        <is>
          <t>W6–W9</t>
        </is>
      </c>
      <c r="C4" s="12" t="inlineStr">
        <is>
          <t>系统完备</t>
        </is>
      </c>
      <c r="D4" s="12" t="inlineStr">
        <is>
          <t>融合进化、养成、图鉴、存档</t>
        </is>
      </c>
      <c r="E4" s="12" t="inlineStr">
        <is>
          <t>① 所有系统无占位
② 单局 15 分钟闭环
③ 断线/强退不丢档</t>
        </is>
      </c>
      <c r="F4" s="12" t="inlineStr">
        <is>
          <t>主策 + 全部策划</t>
        </is>
      </c>
      <c r="G4" s="12" t="inlineStr">
        <is>
          <t>有占位功能则不上 M3，先补完</t>
        </is>
      </c>
    </row>
    <row r="5" ht="62" customHeight="1">
      <c r="A5" s="12" t="inlineStr">
        <is>
          <t>M3</t>
        </is>
      </c>
      <c r="B5" s="12" t="inlineStr">
        <is>
          <t>W10–W12</t>
        </is>
      </c>
      <c r="C5" s="12" t="inlineStr">
        <is>
          <t>内容验证（阶段一交付）</t>
        </is>
      </c>
      <c r="D5" s="12" t="inlineStr">
        <is>
          <t>3 关 × 3 难度可通</t>
        </is>
      </c>
      <c r="E5" s="12" t="inlineStr">
        <is>
          <t>① 9 个挑战单元可全部完成
② 1080p 稳定 60 fps
③ 阻塞级 Bug 清零</t>
        </is>
      </c>
      <c r="F5" s="12" t="inlineStr">
        <is>
          <t>制作人</t>
        </is>
      </c>
      <c r="G5" s="12" t="inlineStr">
        <is>
          <t>可先上线，阶段二转持续更新</t>
        </is>
      </c>
    </row>
    <row r="6" ht="62" customHeight="1">
      <c r="A6" s="12" t="inlineStr">
        <is>
          <t>M4</t>
        </is>
      </c>
      <c r="B6" s="12" t="inlineStr">
        <is>
          <t>W13–W15</t>
        </is>
      </c>
      <c r="C6" s="12" t="inlineStr">
        <is>
          <t>关卡扩充</t>
        </is>
      </c>
      <c r="D6" s="12" t="inlineStr">
        <is>
          <t>第 4–10 关 + 7 BOSS</t>
        </is>
      </c>
      <c r="E6" s="12" t="inlineStr">
        <is>
          <t>① 10 关全部可玩
② 难度曲线符合 6.5
③ 每关地形机制唯一</t>
        </is>
      </c>
      <c r="F6" s="12" t="inlineStr">
        <is>
          <t>主策 + 关卡策划</t>
        </is>
      </c>
      <c r="G6" s="12" t="inlineStr">
        <is>
          <t>曲线断档则回退系数，不加新机制</t>
        </is>
      </c>
    </row>
    <row r="7" ht="62" customHeight="1">
      <c r="A7" s="12" t="inlineStr">
        <is>
          <t>M5</t>
        </is>
      </c>
      <c r="B7" s="12" t="inlineStr">
        <is>
          <t>W16–W19</t>
        </is>
      </c>
      <c r="C7" s="12" t="inlineStr">
        <is>
          <t>角色与技能</t>
        </is>
      </c>
      <c r="D7" s="12" t="inlineStr">
        <is>
          <t>20 角色 / 36 技能 / 22 组合</t>
        </is>
      </c>
      <c r="E7" s="12" t="inlineStr">
        <is>
          <t>① 每角色一句话定位成立
② 无死配方
③ 弱角色有专属补强</t>
        </is>
      </c>
      <c r="F7" s="12" t="inlineStr">
        <is>
          <t>主策</t>
        </is>
      </c>
      <c r="G7" s="12" t="inlineStr">
        <is>
          <t>平衡未达成则先上线后调，不延期</t>
        </is>
      </c>
    </row>
    <row r="8" ht="62" customHeight="1">
      <c r="A8" s="12" t="inlineStr">
        <is>
          <t>M6</t>
        </is>
      </c>
      <c r="B8" s="12" t="inlineStr">
        <is>
          <t>W20–W22</t>
        </is>
      </c>
      <c r="C8" s="12" t="inlineStr">
        <is>
          <t>敌人与图鉴</t>
        </is>
      </c>
      <c r="D8" s="12" t="inlineStr">
        <is>
          <t>14 敌人 + 全图鉴</t>
        </is>
      </c>
      <c r="E8" s="12" t="inlineStr">
        <is>
          <t>① 30 单元解锁内容全部可达
② 图鉴计数无遗漏</t>
        </is>
      </c>
      <c r="F8" s="12" t="inlineStr">
        <is>
          <t>QA</t>
        </is>
      </c>
      <c r="G8" s="12" t="inlineStr">
        <is>
          <t>可达性不达标则修解锁链</t>
        </is>
      </c>
    </row>
    <row r="9" ht="62" customHeight="1">
      <c r="A9" s="12" t="inlineStr">
        <is>
          <t>M7</t>
        </is>
      </c>
      <c r="B9" s="12" t="inlineStr">
        <is>
          <t>W23–W24</t>
        </is>
      </c>
      <c r="C9" s="12" t="inlineStr">
        <is>
          <t>发行上线</t>
        </is>
      </c>
      <c r="D9" s="12" t="inlineStr">
        <is>
          <t>数值终版 + 兼容 + 商店</t>
        </is>
      </c>
      <c r="E9" s="12" t="inlineStr">
        <is>
          <t>① Demo 转化 ≥ 12%
② 崩溃率 &lt; 0.5%
③ Steam Deck Verified</t>
        </is>
      </c>
      <c r="F9" s="12" t="inlineStr">
        <is>
          <t>制作人</t>
        </is>
      </c>
      <c r="G9" s="12" t="inlineStr">
        <is>
          <t>只砍范围，不砍质量门槛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9" customWidth="1" min="3" max="3"/>
    <col width="12" customWidth="1" min="4" max="4"/>
    <col width="56" customWidth="1" min="5" max="5"/>
  </cols>
  <sheetData>
    <row r="1" ht="30" customHeight="1">
      <c r="A1" s="6" t="inlineStr">
        <is>
          <t>序号</t>
        </is>
      </c>
      <c r="B1" s="6" t="inlineStr">
        <is>
          <t>环节</t>
        </is>
      </c>
      <c r="C1" s="6" t="inlineStr">
        <is>
          <t>类型</t>
        </is>
      </c>
      <c r="D1" s="6" t="inlineStr">
        <is>
          <t>计划完成周</t>
        </is>
      </c>
      <c r="E1" s="6" t="inlineStr">
        <is>
          <t>为什么在关键路径上</t>
        </is>
      </c>
    </row>
    <row r="2">
      <c r="A2" s="14" t="inlineStr">
        <is>
          <t>1</t>
        </is>
      </c>
      <c r="B2" s="14" t="inlineStr">
        <is>
          <t>S03 弹丸状态机</t>
        </is>
      </c>
      <c r="C2" s="14" t="inlineStr">
        <is>
          <t>系统</t>
        </is>
      </c>
      <c r="D2" s="14" t="inlineStr">
        <is>
          <t>W2</t>
        </is>
      </c>
      <c r="E2" s="14" t="inlineStr">
        <is>
          <t>一切玩法的基础；它不稳，后面全部返工</t>
        </is>
      </c>
    </row>
    <row r="3">
      <c r="A3" s="14" t="inlineStr">
        <is>
          <t>2</t>
        </is>
      </c>
      <c r="B3" s="14" t="inlineStr">
        <is>
          <t>S04 弹射/回弹/接住</t>
        </is>
      </c>
      <c r="C3" s="14" t="inlineStr">
        <is>
          <t>系统</t>
        </is>
      </c>
      <c r="D3" s="14" t="inlineStr">
        <is>
          <t>W3</t>
        </is>
      </c>
      <c r="E3" s="14" t="inlineStr">
        <is>
          <t>核心卖点所在，决定手感成立与否</t>
        </is>
      </c>
    </row>
    <row r="4">
      <c r="A4" s="14" t="inlineStr">
        <is>
          <t>3</t>
        </is>
      </c>
      <c r="B4" s="14" t="inlineStr">
        <is>
          <t>T01 手感调参</t>
        </is>
      </c>
      <c r="C4" s="14" t="inlineStr">
        <is>
          <t>调优</t>
        </is>
      </c>
      <c r="D4" s="14" t="inlineStr">
        <is>
          <t>W3</t>
        </is>
      </c>
      <c r="E4" s="14" t="inlineStr">
        <is>
          <t>M0 门禁由它决定；未过不得进入 M1</t>
        </is>
      </c>
    </row>
    <row r="5">
      <c r="A5" s="14" t="inlineStr">
        <is>
          <t>4</t>
        </is>
      </c>
      <c r="B5" s="14" t="inlineStr">
        <is>
          <t>S06 升级与技能框架</t>
        </is>
      </c>
      <c r="C5" s="14" t="inlineStr">
        <is>
          <t>系统</t>
        </is>
      </c>
      <c r="D5" s="14" t="inlineStr">
        <is>
          <t>W4</t>
        </is>
      </c>
      <c r="E5" s="14" t="inlineStr">
        <is>
          <t>技能、融合、进化全部挂在这套框架上</t>
        </is>
      </c>
    </row>
    <row r="6">
      <c r="A6" s="14" t="inlineStr">
        <is>
          <t>5</t>
        </is>
      </c>
      <c r="B6" s="14" t="inlineStr">
        <is>
          <t>S07 融合/进化</t>
        </is>
      </c>
      <c r="C6" s="14" t="inlineStr">
        <is>
          <t>系统</t>
        </is>
      </c>
      <c r="D6" s="14" t="inlineStr">
        <is>
          <t>W7</t>
        </is>
      </c>
      <c r="E6" s="14" t="inlineStr">
        <is>
          <t>深度来源；直接决定内容量产的配方可行性</t>
        </is>
      </c>
    </row>
    <row r="7">
      <c r="A7" s="14" t="inlineStr">
        <is>
          <t>6</t>
        </is>
      </c>
      <c r="B7" s="14" t="inlineStr">
        <is>
          <t>S09 天赋树与三轨购买</t>
        </is>
      </c>
      <c r="C7" s="14" t="inlineStr">
        <is>
          <t>系统</t>
        </is>
      </c>
      <c r="D7" s="14" t="inlineStr">
        <is>
          <t>W8</t>
        </is>
      </c>
      <c r="E7" s="14" t="inlineStr">
        <is>
          <t>局外循环闭合点，影响留存与口碑</t>
        </is>
      </c>
    </row>
    <row r="8">
      <c r="A8" s="14" t="inlineStr">
        <is>
          <t>7</t>
        </is>
      </c>
      <c r="B8" s="14" t="inlineStr">
        <is>
          <t>C01/C06 内容量产（阶段一）</t>
        </is>
      </c>
      <c r="C8" s="14" t="inlineStr">
        <is>
          <t>内容</t>
        </is>
      </c>
      <c r="D8" s="14" t="inlineStr">
        <is>
          <t>W12</t>
        </is>
      </c>
      <c r="E8" s="14" t="inlineStr">
        <is>
          <t>验证复用规范是否真的省时</t>
        </is>
      </c>
    </row>
    <row r="9">
      <c r="A9" s="14" t="inlineStr">
        <is>
          <t>8</t>
        </is>
      </c>
      <c r="B9" s="14" t="inlineStr">
        <is>
          <t>C17/C18 关卡与 BOSS ×7</t>
        </is>
      </c>
      <c r="C9" s="14" t="inlineStr">
        <is>
          <t>内容</t>
        </is>
      </c>
      <c r="D9" s="14" t="inlineStr">
        <is>
          <t>W15</t>
        </is>
      </c>
      <c r="E9" s="14" t="inlineStr">
        <is>
          <t>阶段二最大工作量，占用关键路径最久</t>
        </is>
      </c>
    </row>
    <row r="10">
      <c r="A10" s="14" t="inlineStr">
        <is>
          <t>9</t>
        </is>
      </c>
      <c r="B10" s="14" t="inlineStr">
        <is>
          <t>T06 数值调优</t>
        </is>
      </c>
      <c r="C10" s="14" t="inlineStr">
        <is>
          <t>调优</t>
        </is>
      </c>
      <c r="D10" s="14" t="inlineStr">
        <is>
          <t>W24</t>
        </is>
      </c>
      <c r="E10" s="14" t="inlineStr">
        <is>
          <t>上线前最后一道关卡，不可压缩</t>
        </is>
      </c>
    </row>
    <row r="12">
      <c r="B12" s="15" t="inlineStr">
        <is>
          <t>任一季度延误，整体上线顺延；其余任务有 2 周以上浮动。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66" customWidth="1" min="2" max="2"/>
    <col width="26" customWidth="1" min="3" max="3"/>
    <col width="9" customWidth="1" min="4" max="4"/>
    <col width="20" customWidth="1" min="5" max="5"/>
  </cols>
  <sheetData>
    <row r="1" ht="30" customHeight="1">
      <c r="A1" s="6" t="inlineStr">
        <is>
          <t>系统</t>
        </is>
      </c>
      <c r="B1" s="6" t="inlineStr">
        <is>
          <t>验收标准（Definition of Done）</t>
        </is>
      </c>
      <c r="C1" s="6" t="inlineStr">
        <is>
          <t>验证方式</t>
        </is>
      </c>
      <c r="D1" s="6" t="inlineStr">
        <is>
          <t>结论</t>
        </is>
      </c>
      <c r="E1" s="6" t="inlineStr">
        <is>
          <t>备注</t>
        </is>
      </c>
    </row>
    <row r="2">
      <c r="A2" s="14" t="inlineStr">
        <is>
          <t>弹丸循环</t>
        </is>
      </c>
      <c r="B2" s="14" t="inlineStr">
        <is>
          <t>弹丸槽状态与 HUD 一致；接住 26 px 扫掠不漏判；未接住 1.5 秒自动回收；永不出现“无弹可用”卡死；单发反射达 12 次硬上限后转为穿透回弹、必能收回；急召回 6 秒 CD 生效且装填惩罚正确；回响 3 层封顶、自动回收清零</t>
        </is>
      </c>
      <c r="C2" s="14" t="inlineStr">
        <is>
          <t>自动化用例 + 5 分钟人工试玩</t>
        </is>
      </c>
      <c r="D2" s="14" t="inlineStr">
        <is>
          <t>待验</t>
        </is>
      </c>
      <c r="E2" s="14" t="n"/>
    </row>
    <row r="3">
      <c r="A3" s="14" t="inlineStr">
        <is>
          <t>三档难度</t>
        </is>
      </c>
      <c r="B3" s="14" t="inlineStr">
        <is>
          <t>同关卡三档通关率差值 ≥ 30 个百分点；地狱档在满养成下仍有压力</t>
        </is>
      </c>
      <c r="C3" s="14" t="inlineStr">
        <is>
          <t>50 局统计样本</t>
        </is>
      </c>
      <c r="D3" s="14" t="inlineStr">
        <is>
          <t>待验</t>
        </is>
      </c>
      <c r="E3" s="14" t="n"/>
    </row>
    <row r="4">
      <c r="A4" s="14" t="inlineStr">
        <is>
          <t>技能系统</t>
        </is>
      </c>
      <c r="B4" s="14" t="inlineStr">
        <is>
          <t>36 技能 × 3 级数值齐全；品质权重不串；红技三条来源均可达</t>
        </is>
      </c>
      <c r="C4" s="14" t="inlineStr">
        <is>
          <t>配表校验脚本</t>
        </is>
      </c>
      <c r="D4" s="14" t="inlineStr">
        <is>
          <t>待验</t>
        </is>
      </c>
      <c r="E4" s="14" t="n"/>
    </row>
    <row r="5">
      <c r="A5" s="14" t="inlineStr">
        <is>
          <t>融合 / 进化</t>
        </is>
      </c>
      <c r="B5" s="14" t="inlineStr">
        <is>
          <t>22 条配方无死配方；每局各限 2 次生效</t>
        </is>
      </c>
      <c r="C5" s="14" t="inlineStr">
        <is>
          <t>用例覆盖全部配方</t>
        </is>
      </c>
      <c r="D5" s="14" t="inlineStr">
        <is>
          <t>待验</t>
        </is>
      </c>
      <c r="E5" s="14" t="n"/>
    </row>
    <row r="6">
      <c r="A6" s="14" t="inlineStr">
        <is>
          <t>局外养成</t>
        </is>
      </c>
      <c r="B6" s="14" t="inlineStr">
        <is>
          <t>三轨定价与 5.4 一致；魂晶不足不吞币；天赋树 204 魂晶可点满</t>
        </is>
      </c>
      <c r="C6" s="14" t="inlineStr">
        <is>
          <t>边界值测试</t>
        </is>
      </c>
      <c r="D6" s="14" t="inlineStr">
        <is>
          <t>待验</t>
        </is>
      </c>
      <c r="E6" s="14" t="n"/>
    </row>
    <row r="7">
      <c r="A7" s="14" t="inlineStr">
        <is>
          <t>图鉴</t>
        </is>
      </c>
      <c r="B7" s="14" t="inlineStr">
        <is>
          <t>击杀计数准确；铜银金框按难度解锁；隐藏角色解锁可达</t>
        </is>
      </c>
      <c r="C7" s="14" t="inlineStr">
        <is>
          <t>全链路手工验证</t>
        </is>
      </c>
      <c r="D7" s="14" t="inlineStr">
        <is>
          <t>待验</t>
        </is>
      </c>
      <c r="E7" s="14" t="n"/>
    </row>
    <row r="8">
      <c r="A8" s="14" t="inlineStr">
        <is>
          <t>无尽模式</t>
        </is>
      </c>
      <c r="B8" s="14" t="inlineStr">
        <is>
          <t>波次无限不崩；单局魂晶 ≤ 20；收益低于同主线时长</t>
        </is>
      </c>
      <c r="C8" s="14" t="inlineStr">
        <is>
          <t>30 分钟连续运行</t>
        </is>
      </c>
      <c r="D8" s="14" t="inlineStr">
        <is>
          <t>待验</t>
        </is>
      </c>
      <c r="E8" s="14" t="n"/>
    </row>
    <row r="9">
      <c r="A9" s="14" t="inlineStr">
        <is>
          <t>存档</t>
        </is>
      </c>
      <c r="B9" s="14" t="inlineStr">
        <is>
          <t>断电/强退不丢档；旧版本档可迁移；云存档可续</t>
        </is>
      </c>
      <c r="C9" s="14" t="inlineStr">
        <is>
          <t>异常断电测试</t>
        </is>
      </c>
      <c r="D9" s="14" t="inlineStr">
        <is>
          <t>待验</t>
        </is>
      </c>
      <c r="E9" s="14" t="n"/>
    </row>
    <row r="10">
      <c r="A10" s="14" t="inlineStr">
        <is>
          <t>性能</t>
        </is>
      </c>
      <c r="B10" s="14" t="inlineStr">
        <is>
          <t>1080p 稳定 60 fps；同屏 260 子弹不掉帧；Deck ≥ 40 fps</t>
        </is>
      </c>
      <c r="C10" s="14" t="inlineStr">
        <is>
          <t>性能分析器采样</t>
        </is>
      </c>
      <c r="D10" s="14" t="inlineStr">
        <is>
          <t>待验</t>
        </is>
      </c>
      <c r="E10" s="14" t="n"/>
    </row>
    <row r="11">
      <c r="A11" s="14" t="inlineStr">
        <is>
          <t>兼容性</t>
        </is>
      </c>
      <c r="B11" s="14" t="inlineStr">
        <is>
          <t>16:9 / 16:10 / 21:9 不裁切；手柄全流程可用</t>
        </is>
      </c>
      <c r="C11" s="14" t="inlineStr">
        <is>
          <t>三档分辨率 + 手柄实测</t>
        </is>
      </c>
      <c r="D11" s="14" t="inlineStr">
        <is>
          <t>待验</t>
        </is>
      </c>
      <c r="E11" s="14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7" customWidth="1" min="3" max="3"/>
    <col width="13" customWidth="1" min="4" max="4"/>
    <col width="30" customWidth="1" min="5" max="5"/>
    <col width="44" customWidth="1" min="6" max="6"/>
  </cols>
  <sheetData>
    <row r="1" ht="30" customHeight="1">
      <c r="A1" s="6" t="inlineStr">
        <is>
          <t>风险</t>
        </is>
      </c>
      <c r="B1" s="6" t="inlineStr">
        <is>
          <t>影响</t>
        </is>
      </c>
      <c r="C1" s="6" t="inlineStr">
        <is>
          <t>概率</t>
        </is>
      </c>
      <c r="D1" s="6" t="inlineStr">
        <is>
          <t>检查点</t>
        </is>
      </c>
      <c r="E1" s="6" t="inlineStr">
        <is>
          <t>触发信号</t>
        </is>
      </c>
      <c r="F1" s="6" t="inlineStr">
        <is>
          <t>应对</t>
        </is>
      </c>
    </row>
    <row r="2" ht="34" customHeight="1">
      <c r="A2" s="14" t="inlineStr">
        <is>
          <t>弹射收益不稳定，玩家感知不到</t>
        </is>
      </c>
      <c r="B2" s="14" t="inlineStr">
        <is>
          <t>核心卖点失效</t>
        </is>
      </c>
      <c r="C2" s="14" t="inlineStr">
        <is>
          <t>中</t>
        </is>
      </c>
      <c r="D2" s="14" t="inlineStr">
        <is>
          <t>M0 手感评审</t>
        </is>
      </c>
      <c r="E2" s="14" t="inlineStr">
        <is>
          <t>试玩者说不清“为什么要弹射”</t>
        </is>
      </c>
      <c r="F2" s="14" t="inlineStr">
        <is>
          <t>加索敌修正、弹射高亮、首关强制教学</t>
        </is>
      </c>
    </row>
    <row r="3" ht="34" customHeight="1">
      <c r="A3" s="14" t="inlineStr">
        <is>
          <t>弹药回收机制导致节奏断裂</t>
        </is>
      </c>
      <c r="B3" s="14" t="inlineStr">
        <is>
          <t>手感拖沓 / 新手挫败</t>
        </is>
      </c>
      <c r="C3" s="14" t="inlineStr">
        <is>
          <t>高</t>
        </is>
      </c>
      <c r="D3" s="14" t="inlineStr">
        <is>
          <t>M1 门禁</t>
        </is>
      </c>
      <c r="E3" s="14" t="inlineStr">
        <is>
          <t>试玩中频繁出现“没子弹用”</t>
        </is>
      </c>
      <c r="F3" s="14" t="inlineStr">
        <is>
          <t>放宽接住判定、自动回收兜底</t>
        </is>
      </c>
    </row>
    <row r="4" ht="34" customHeight="1">
      <c r="A4" s="14" t="inlineStr">
        <is>
          <t>玩家不理解“必须回收才能射击”</t>
        </is>
      </c>
      <c r="B4" s="14" t="inlineStr">
        <is>
          <t>误以为卡刀/掉帧</t>
        </is>
      </c>
      <c r="C4" s="14" t="inlineStr">
        <is>
          <t>高</t>
        </is>
      </c>
      <c r="D4" s="14" t="inlineStr">
        <is>
          <t>M1 门禁</t>
        </is>
      </c>
      <c r="E4" s="14" t="inlineStr">
        <is>
          <t>反馈集中出现“打不出子弹”</t>
        </is>
      </c>
      <c r="F4" s="14" t="inlineStr">
        <is>
          <t>无弹强制提示 + 弹丸槽常驻 + 教学波次</t>
        </is>
      </c>
    </row>
    <row r="5" ht="34" customHeight="1">
      <c r="A5" s="14" t="inlineStr">
        <is>
          <t>弹幕过密导致低端机掉帧</t>
        </is>
      </c>
      <c r="B5" s="14" t="inlineStr">
        <is>
          <t>体验崩坏、差评</t>
        </is>
      </c>
      <c r="C5" s="14" t="inlineStr">
        <is>
          <t>高</t>
        </is>
      </c>
      <c r="D5" s="14" t="inlineStr">
        <is>
          <t>M3 性能验收</t>
        </is>
      </c>
      <c r="E5" s="14" t="inlineStr">
        <is>
          <t>1080p 低于 45 fps</t>
        </is>
      </c>
      <c r="F5" s="14" t="inlineStr">
        <is>
          <t>对象池、同屏上限 260、低画质降级</t>
        </is>
      </c>
    </row>
    <row r="6" ht="34" customHeight="1">
      <c r="A6" s="14" t="inlineStr">
        <is>
          <t>技能组合导致数值爆炸</t>
        </is>
      </c>
      <c r="B6" s="14" t="inlineStr">
        <is>
          <t>难度失衡</t>
        </is>
      </c>
      <c r="C6" s="14" t="inlineStr">
        <is>
          <t>高</t>
        </is>
      </c>
      <c r="D6" s="14" t="inlineStr">
        <is>
          <t>M2 系统评审</t>
        </is>
      </c>
      <c r="E6" s="14" t="inlineStr">
        <is>
          <t>单发伤害超出同波次敌人血量 5 倍</t>
        </is>
      </c>
      <c r="F6" s="14" t="inlineStr">
        <is>
          <t>增伤上限 300%、融合独立系数、每局限 2 次</t>
        </is>
      </c>
    </row>
    <row r="7" ht="34" customHeight="1">
      <c r="A7" s="14" t="inlineStr">
        <is>
          <t>40+ BOSS 技能同质化</t>
        </is>
      </c>
      <c r="B7" s="14" t="inlineStr">
        <is>
          <t>内容延期且乏味</t>
        </is>
      </c>
      <c r="C7" s="14" t="inlineStr">
        <is>
          <t>中</t>
        </is>
      </c>
      <c r="D7" s="14" t="inlineStr">
        <is>
          <t>M4 门禁</t>
        </is>
      </c>
      <c r="E7" s="14" t="inlineStr">
        <is>
          <t>两个 BOSS 技能表重复率 &gt; 40%</t>
        </is>
      </c>
      <c r="F7" s="14" t="inlineStr">
        <is>
          <t>先做 6 类技能模板，BOSS 只做组合</t>
        </is>
      </c>
    </row>
    <row r="8" ht="34" customHeight="1">
      <c r="A8" s="14" t="inlineStr">
        <is>
          <t>角色过多导致平衡困难</t>
        </is>
      </c>
      <c r="B8" s="14" t="inlineStr">
        <is>
          <t>部分角色无人使用</t>
        </is>
      </c>
      <c r="C8" s="14" t="inlineStr">
        <is>
          <t>中</t>
        </is>
      </c>
      <c r="D8" s="14" t="inlineStr">
        <is>
          <t>M5 门禁</t>
        </is>
      </c>
      <c r="E8" s="14" t="inlineStr">
        <is>
          <t>某角色使用率 &lt; 3%</t>
        </is>
      </c>
      <c r="F8" s="14" t="inlineStr">
        <is>
          <t>一句话定位 + 专属技能池补强</t>
        </is>
      </c>
    </row>
    <row r="9" ht="34" customHeight="1">
      <c r="A9" s="14" t="inlineStr">
        <is>
          <t>外围养成被感知为逼氪</t>
        </is>
      </c>
      <c r="B9" s="14" t="inlineStr">
        <is>
          <t>口碑风险</t>
        </is>
      </c>
      <c r="C9" s="14" t="inlineStr">
        <is>
          <t>低</t>
        </is>
      </c>
      <c r="D9" s="14" t="inlineStr">
        <is>
          <t>M7 上线前</t>
        </is>
      </c>
      <c r="E9" s="14" t="inlineStr">
        <is>
          <t>评论出现“pay to win”</t>
        </is>
      </c>
      <c r="F9" s="14" t="inlineStr">
        <is>
          <t>零养成可通全部关卡；公开数值上限</t>
        </is>
      </c>
    </row>
    <row r="10" ht="34" customHeight="1">
      <c r="A10" s="14" t="inlineStr">
        <is>
          <t>复用规范不达标</t>
        </is>
      </c>
      <c r="B10" s="14" t="inlineStr">
        <is>
          <t>阶段二从 12 周膨胀到 20 周</t>
        </is>
      </c>
      <c r="C10" s="14" t="inlineStr">
        <is>
          <t>高</t>
        </is>
      </c>
      <c r="D10" s="14" t="inlineStr">
        <is>
          <t>M3 门禁</t>
        </is>
      </c>
      <c r="E10" s="14" t="inlineStr">
        <is>
          <t>单角色工时超 0.5 人日</t>
        </is>
      </c>
      <c r="F10" s="14" t="inlineStr">
        <is>
          <t>回退补工具，不硬推内容</t>
        </is>
      </c>
    </row>
    <row r="11" ht="34" customHeight="1">
      <c r="A11" s="14" t="inlineStr">
        <is>
          <t>无尽模式成为刷货币最优解</t>
        </is>
      </c>
      <c r="B11" s="14" t="inlineStr">
        <is>
          <t>经济失衡</t>
        </is>
      </c>
      <c r="C11" s="14" t="inlineStr">
        <is>
          <t>中</t>
        </is>
      </c>
      <c r="D11" s="14" t="inlineStr">
        <is>
          <t>M3 验收</t>
        </is>
      </c>
      <c r="E11" s="14" t="inlineStr">
        <is>
          <t>无尽收益/分钟 &gt; 主线 1.5 倍</t>
        </is>
      </c>
      <c r="F11" s="14" t="inlineStr">
        <is>
          <t>单局魂晶上限 20、金币不加成</t>
        </is>
      </c>
    </row>
    <row r="12" ht="34" customHeight="1">
      <c r="A12" s="14" t="inlineStr">
        <is>
          <t>双瞄准模式增加复杂度</t>
        </is>
      </c>
      <c r="B12" s="14" t="inlineStr">
        <is>
          <t>手残玩家流失</t>
        </is>
      </c>
      <c r="C12" s="14" t="inlineStr">
        <is>
          <t>中</t>
        </is>
      </c>
      <c r="D12" s="14" t="inlineStr">
        <is>
          <t>M2 评审</t>
        </is>
      </c>
      <c r="E12" s="14" t="inlineStr">
        <is>
          <t>手动瞄准使用率 &lt; 10% 且差评提及</t>
        </is>
      </c>
      <c r="F12" s="14" t="inlineStr">
        <is>
          <t>默认自动；手动无数值差异</t>
        </is>
      </c>
    </row>
    <row r="13" ht="34" customHeight="1">
      <c r="A13" s="14" t="inlineStr">
        <is>
          <t>PC 单手/触控板操作不便</t>
        </is>
      </c>
      <c r="B13" s="14" t="inlineStr">
        <is>
          <t>部分用户流失</t>
        </is>
      </c>
      <c r="C13" s="14" t="inlineStr">
        <is>
          <t>低</t>
        </is>
      </c>
      <c r="D13" s="14" t="inlineStr">
        <is>
          <t>M7 兼容测试</t>
        </is>
      </c>
      <c r="E13" s="14" t="inlineStr">
        <is>
          <t>仅键盘可玩性差评</t>
        </is>
      </c>
      <c r="F13" s="14" t="inlineStr">
        <is>
          <t>自动瞄准默认 + 纯键盘朝向备选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1" customWidth="1" min="3" max="3"/>
    <col width="11" customWidth="1" min="4" max="4"/>
    <col width="44" customWidth="1" min="5" max="5"/>
    <col width="9" customWidth="1" min="6" max="6"/>
    <col width="36" customWidth="1" min="7" max="7"/>
    <col width="8" customWidth="1" min="8" max="8"/>
  </cols>
  <sheetData>
    <row r="1" ht="32" customHeight="1">
      <c r="A1" s="6" t="inlineStr">
        <is>
          <t>内容</t>
        </is>
      </c>
      <c r="B1" s="6" t="inlineStr">
        <is>
          <t>完整版</t>
        </is>
      </c>
      <c r="C1" s="6" t="inlineStr">
        <is>
          <t>阶段一已做</t>
        </is>
      </c>
      <c r="D1" s="6" t="inlineStr">
        <is>
          <t>阶段二待补</t>
        </is>
      </c>
      <c r="E1" s="6" t="inlineStr">
        <is>
          <t>复用模板</t>
        </is>
      </c>
      <c r="F1" s="6" t="inlineStr">
        <is>
          <t>单件工时</t>
        </is>
      </c>
      <c r="G1" s="6" t="inlineStr">
        <is>
          <t>验收要点</t>
        </is>
      </c>
      <c r="H1" s="6" t="inlineStr">
        <is>
          <t>进度</t>
        </is>
      </c>
    </row>
    <row r="2">
      <c r="A2" s="14" t="inlineStr">
        <is>
          <t>角色</t>
        </is>
      </c>
      <c r="B2" s="14" t="n">
        <v>20</v>
      </c>
      <c r="C2" s="14" t="n">
        <v>8</v>
      </c>
      <c r="D2" s="14">
        <f>B2-C2</f>
        <v/>
      </c>
      <c r="E2" s="14" t="inlineStr">
        <is>
          <t>复用 14.6 角色模板：基础属性 + 1 天赋 + 1 专属技能池</t>
        </is>
      </c>
      <c r="F2" s="14" t="n">
        <v>0.5</v>
      </c>
      <c r="G2" s="14" t="inlineStr">
        <is>
          <t>一句话定位；初始/购买/图鉴三源可达</t>
        </is>
      </c>
      <c r="H2" s="16">
        <f>C2/B2</f>
        <v/>
      </c>
    </row>
    <row r="3">
      <c r="A3" s="14" t="inlineStr">
        <is>
          <t>技能</t>
        </is>
      </c>
      <c r="B3" s="14" t="n">
        <v>36</v>
      </c>
      <c r="C3" s="14" t="n">
        <v>20</v>
      </c>
      <c r="D3" s="14">
        <f>B3-C3</f>
        <v/>
      </c>
      <c r="E3" s="14" t="inlineStr">
        <is>
          <t>复用技能模板：类型 × 品质 × 3 级数值表</t>
        </is>
      </c>
      <c r="F3" s="14" t="n">
        <v>0.3</v>
      </c>
      <c r="G3" s="14" t="inlineStr">
        <is>
          <t>3 级数值齐全；融合/进化标签正确</t>
        </is>
      </c>
      <c r="H3" s="16">
        <f>C3/B3</f>
        <v/>
      </c>
    </row>
    <row r="4">
      <c r="A4" s="14" t="inlineStr">
        <is>
          <t>融合 / 进化</t>
        </is>
      </c>
      <c r="B4" s="14" t="n">
        <v>22</v>
      </c>
      <c r="C4" s="14" t="n">
        <v>8</v>
      </c>
      <c r="D4" s="14">
        <f>B4-C4</f>
        <v/>
      </c>
      <c r="E4" s="14" t="inlineStr">
        <is>
          <t>复用配方表：材料 2 个技能 + 产出 1 技能</t>
        </is>
      </c>
      <c r="F4" s="14" t="n">
        <v>0.4</v>
      </c>
      <c r="G4" s="14" t="inlineStr">
        <is>
          <t>无死配方；独立特效</t>
        </is>
      </c>
      <c r="H4" s="16">
        <f>C4/B4</f>
        <v/>
      </c>
    </row>
    <row r="5">
      <c r="A5" s="14" t="inlineStr">
        <is>
          <t>关卡（含 3 档）</t>
        </is>
      </c>
      <c r="B5" s="14" t="n">
        <v>10</v>
      </c>
      <c r="C5" s="14" t="n">
        <v>3</v>
      </c>
      <c r="D5" s="14">
        <f>B5-C5</f>
        <v/>
      </c>
      <c r="E5" s="14" t="inlineStr">
        <is>
          <t>复用关卡模板：地形机制 + 波次表 + 难度参数</t>
        </is>
      </c>
      <c r="F5" s="14" t="n">
        <v>2</v>
      </c>
      <c r="G5" s="14" t="inlineStr">
        <is>
          <t>地形机制唯一；曲线符合 6.5</t>
        </is>
      </c>
      <c r="H5" s="16">
        <f>C5/B5</f>
        <v/>
      </c>
    </row>
    <row r="6">
      <c r="A6" s="14" t="inlineStr">
        <is>
          <t>BOSS</t>
        </is>
      </c>
      <c r="B6" s="14" t="n">
        <v>10</v>
      </c>
      <c r="C6" s="14" t="n">
        <v>3</v>
      </c>
      <c r="D6" s="14">
        <f>B6-C6</f>
        <v/>
      </c>
      <c r="E6" s="14" t="inlineStr">
        <is>
          <t>复用 6 类技能模板组合</t>
        </is>
      </c>
      <c r="F6" s="14" t="n">
        <v>2</v>
      </c>
      <c r="G6" s="14" t="inlineStr">
        <is>
          <t>≥4 技能；有可弹射利用的弱点</t>
        </is>
      </c>
      <c r="H6" s="16">
        <f>C6/B6</f>
        <v/>
      </c>
    </row>
    <row r="7">
      <c r="A7" s="14" t="inlineStr">
        <is>
          <t>普通 / 精英敌人</t>
        </is>
      </c>
      <c r="B7" s="14" t="n">
        <v>14</v>
      </c>
      <c r="C7" s="14" t="n">
        <v>6</v>
      </c>
      <c r="D7" s="14">
        <f>B7-C7</f>
        <v/>
      </c>
      <c r="E7" s="14" t="inlineStr">
        <is>
          <t>复用敌人模板：底图 + 图标 + AI 行为</t>
        </is>
      </c>
      <c r="F7" s="14" t="n">
        <v>0.5</v>
      </c>
      <c r="G7" s="14" t="inlineStr">
        <is>
          <t>数值与 7.5/7.6 一致；品质分布正确</t>
        </is>
      </c>
      <c r="H7" s="16">
        <f>C7/B7</f>
        <v/>
      </c>
    </row>
    <row r="8">
      <c r="A8" s="14" t="inlineStr">
        <is>
          <t>UI 界面</t>
        </is>
      </c>
      <c r="B8" s="14" t="n">
        <v>12</v>
      </c>
      <c r="C8" s="14" t="n">
        <v>12</v>
      </c>
      <c r="D8" s="14">
        <f>B8-C8</f>
        <v/>
      </c>
      <c r="E8" s="14" t="inlineStr">
        <is>
          <t>复用界面框架与组件库</t>
        </is>
      </c>
      <c r="F8" s="14" t="n">
        <v>1</v>
      </c>
      <c r="G8" s="14" t="inlineStr">
        <is>
          <t>不遮挡战场；键鼠/手柄可操作</t>
        </is>
      </c>
      <c r="H8" s="16">
        <f>C8/B8</f>
        <v/>
      </c>
    </row>
    <row r="9">
      <c r="A9" s="14" t="inlineStr">
        <is>
          <t>特效 / 音效</t>
        </is>
      </c>
      <c r="B9" s="14" t="n">
        <v>60</v>
      </c>
      <c r="C9" s="14" t="n">
        <v>30</v>
      </c>
      <c r="D9" s="14">
        <f>B9-C9</f>
        <v/>
      </c>
      <c r="E9" s="14" t="inlineStr">
        <is>
          <t>复用特效预设与音效库</t>
        </is>
      </c>
      <c r="F9" s="14" t="n">
        <v>0.2</v>
      </c>
      <c r="G9" s="14" t="inlineStr">
        <is>
          <t>接住/弹射反馈可辨；无缺省静音</t>
        </is>
      </c>
      <c r="H9" s="16">
        <f>C9/B9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5.4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  <col width="5.4" customWidth="1" min="18" max="18"/>
    <col width="5.4" customWidth="1" min="19" max="19"/>
    <col width="5.4" customWidth="1" min="20" max="20"/>
    <col width="5.4" customWidth="1" min="21" max="21"/>
    <col width="5.4" customWidth="1" min="22" max="22"/>
    <col width="5.4" customWidth="1" min="23" max="23"/>
    <col width="5.4" customWidth="1" min="24" max="24"/>
    <col width="5.4" customWidth="1" min="25" max="25"/>
  </cols>
  <sheetData>
    <row r="1" ht="34" customHeight="1">
      <c r="A1" s="6" t="inlineStr">
        <is>
          <t>角色</t>
        </is>
      </c>
      <c r="B1" s="6" t="inlineStr">
        <is>
          <t>总人日</t>
        </is>
      </c>
      <c r="C1" s="6" t="inlineStr">
        <is>
          <t>W1</t>
        </is>
      </c>
      <c r="D1" s="6" t="inlineStr">
        <is>
          <t>W2</t>
        </is>
      </c>
      <c r="E1" s="6" t="inlineStr">
        <is>
          <t>W3</t>
        </is>
      </c>
      <c r="F1" s="6" t="inlineStr">
        <is>
          <t>W4</t>
        </is>
      </c>
      <c r="G1" s="6" t="inlineStr">
        <is>
          <t>W5</t>
        </is>
      </c>
      <c r="H1" s="6" t="inlineStr">
        <is>
          <t>W6</t>
        </is>
      </c>
      <c r="I1" s="6" t="inlineStr">
        <is>
          <t>W7</t>
        </is>
      </c>
      <c r="J1" s="6" t="inlineStr">
        <is>
          <t>W8</t>
        </is>
      </c>
      <c r="K1" s="6" t="inlineStr">
        <is>
          <t>W9</t>
        </is>
      </c>
      <c r="L1" s="6" t="inlineStr">
        <is>
          <t>W10</t>
        </is>
      </c>
      <c r="M1" s="6" t="inlineStr">
        <is>
          <t>W11</t>
        </is>
      </c>
      <c r="N1" s="6" t="inlineStr">
        <is>
          <t>W12</t>
        </is>
      </c>
      <c r="O1" s="6" t="inlineStr">
        <is>
          <t>W13</t>
        </is>
      </c>
      <c r="P1" s="6" t="inlineStr">
        <is>
          <t>W14</t>
        </is>
      </c>
      <c r="Q1" s="6" t="inlineStr">
        <is>
          <t>W15</t>
        </is>
      </c>
      <c r="R1" s="6" t="inlineStr">
        <is>
          <t>W16</t>
        </is>
      </c>
      <c r="S1" s="6" t="inlineStr">
        <is>
          <t>W17</t>
        </is>
      </c>
      <c r="T1" s="6" t="inlineStr">
        <is>
          <t>W18</t>
        </is>
      </c>
      <c r="U1" s="6" t="inlineStr">
        <is>
          <t>W19</t>
        </is>
      </c>
      <c r="V1" s="6" t="inlineStr">
        <is>
          <t>W20</t>
        </is>
      </c>
      <c r="W1" s="6" t="inlineStr">
        <is>
          <t>W21</t>
        </is>
      </c>
      <c r="X1" s="6" t="inlineStr">
        <is>
          <t>W22</t>
        </is>
      </c>
      <c r="Y1" s="6" t="inlineStr">
        <is>
          <t>W23</t>
        </is>
      </c>
      <c r="Z1" s="6" t="inlineStr">
        <is>
          <t>W24</t>
        </is>
      </c>
    </row>
    <row r="2">
      <c r="A2" s="17" t="inlineStr">
        <is>
          <t>QA</t>
        </is>
      </c>
      <c r="B2" s="18" t="n">
        <v>10</v>
      </c>
      <c r="C2" s="19" t="n"/>
      <c r="D2" s="19" t="n"/>
      <c r="E2" s="19" t="n"/>
      <c r="F2" s="19" t="n"/>
      <c r="G2" s="20" t="n">
        <v>2</v>
      </c>
      <c r="H2" s="19" t="n"/>
      <c r="I2" s="19" t="n"/>
      <c r="J2" s="19" t="n"/>
      <c r="K2" s="20" t="n">
        <v>2</v>
      </c>
      <c r="L2" s="19" t="n"/>
      <c r="M2" s="19" t="n"/>
      <c r="N2" s="20" t="n">
        <v>2</v>
      </c>
      <c r="O2" s="19" t="n"/>
      <c r="P2" s="19" t="n"/>
      <c r="Q2" s="19" t="n"/>
      <c r="R2" s="19" t="n"/>
      <c r="S2" s="19" t="n"/>
      <c r="T2" s="19" t="n"/>
      <c r="U2" s="19" t="n"/>
      <c r="V2" s="19" t="n"/>
      <c r="W2" s="19" t="n"/>
      <c r="X2" s="19" t="n"/>
      <c r="Y2" s="19" t="n"/>
      <c r="Z2" s="21" t="n">
        <v>4</v>
      </c>
    </row>
    <row r="3">
      <c r="A3" s="17" t="inlineStr">
        <is>
          <t>主策</t>
        </is>
      </c>
      <c r="B3" s="18" t="n">
        <v>22</v>
      </c>
      <c r="C3" s="19" t="n"/>
      <c r="D3" s="20" t="n">
        <v>2</v>
      </c>
      <c r="E3" s="20" t="n">
        <v>2</v>
      </c>
      <c r="F3" s="19" t="n"/>
      <c r="G3" s="20" t="n">
        <v>1.5</v>
      </c>
      <c r="H3" s="20" t="n">
        <v>1.5</v>
      </c>
      <c r="I3" s="20" t="n">
        <v>1.5</v>
      </c>
      <c r="J3" s="20" t="n">
        <v>1.5</v>
      </c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20" t="n">
        <v>2.7</v>
      </c>
      <c r="Y3" s="20" t="n">
        <v>4.7</v>
      </c>
      <c r="Z3" s="21" t="n">
        <v>4.7</v>
      </c>
    </row>
    <row r="4">
      <c r="A4" s="17" t="inlineStr">
        <is>
          <t>关卡策划</t>
        </is>
      </c>
      <c r="B4" s="18" t="n">
        <v>47</v>
      </c>
      <c r="C4" s="19" t="n"/>
      <c r="D4" s="19" t="n"/>
      <c r="E4" s="19" t="n"/>
      <c r="F4" s="20" t="n">
        <v>4.5</v>
      </c>
      <c r="G4" s="20" t="n">
        <v>1</v>
      </c>
      <c r="H4" s="19" t="n"/>
      <c r="I4" s="19" t="n"/>
      <c r="J4" s="19" t="n"/>
      <c r="K4" s="19" t="n"/>
      <c r="L4" s="20" t="n">
        <v>2</v>
      </c>
      <c r="M4" s="20" t="n">
        <v>4</v>
      </c>
      <c r="N4" s="20" t="n">
        <v>3.5</v>
      </c>
      <c r="O4" s="20" t="n">
        <v>4.7</v>
      </c>
      <c r="P4" s="20" t="n">
        <v>4.7</v>
      </c>
      <c r="Q4" s="20" t="n">
        <v>4.7</v>
      </c>
      <c r="R4" s="20" t="n">
        <v>4.7</v>
      </c>
      <c r="S4" s="20" t="n">
        <v>4.7</v>
      </c>
      <c r="T4" s="20" t="n">
        <v>4.7</v>
      </c>
      <c r="U4" s="20" t="n">
        <v>1.3</v>
      </c>
      <c r="V4" s="20" t="n">
        <v>1.3</v>
      </c>
      <c r="W4" s="20" t="n">
        <v>1.3</v>
      </c>
      <c r="X4" s="19" t="n"/>
      <c r="Y4" s="19" t="n"/>
      <c r="Z4" s="22" t="n"/>
    </row>
    <row r="5">
      <c r="A5" s="17" t="inlineStr">
        <is>
          <t>制作人</t>
        </is>
      </c>
      <c r="B5" s="18" t="n">
        <v>3</v>
      </c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21" t="n">
        <v>3</v>
      </c>
    </row>
    <row r="6">
      <c r="A6" s="17" t="inlineStr">
        <is>
          <t>动效</t>
        </is>
      </c>
      <c r="B6" s="18" t="n">
        <v>12</v>
      </c>
      <c r="C6" s="19" t="n"/>
      <c r="D6" s="19" t="n"/>
      <c r="E6" s="19" t="n"/>
      <c r="F6" s="19" t="n"/>
      <c r="G6" s="19" t="n"/>
      <c r="H6" s="19" t="n"/>
      <c r="I6" s="19" t="n"/>
      <c r="J6" s="19" t="n"/>
      <c r="K6" s="20" t="n">
        <v>1.5</v>
      </c>
      <c r="L6" s="20" t="n">
        <v>1.5</v>
      </c>
      <c r="M6" s="20" t="n">
        <v>1.5</v>
      </c>
      <c r="N6" s="20" t="n">
        <v>1.5</v>
      </c>
      <c r="O6" s="19" t="n"/>
      <c r="P6" s="19" t="n"/>
      <c r="Q6" s="19" t="n"/>
      <c r="R6" s="19" t="n"/>
      <c r="S6" s="19" t="n"/>
      <c r="T6" s="19" t="n"/>
      <c r="U6" s="19" t="n"/>
      <c r="V6" s="20" t="n">
        <v>2</v>
      </c>
      <c r="W6" s="20" t="n">
        <v>2</v>
      </c>
      <c r="X6" s="20" t="n">
        <v>2</v>
      </c>
      <c r="Y6" s="19" t="n"/>
      <c r="Z6" s="22" t="n"/>
    </row>
    <row r="7">
      <c r="A7" s="17" t="inlineStr">
        <is>
          <t>客户端A</t>
        </is>
      </c>
      <c r="B7" s="18" t="n">
        <v>25</v>
      </c>
      <c r="C7" s="20" t="n">
        <v>5</v>
      </c>
      <c r="D7" s="20" t="n">
        <v>4</v>
      </c>
      <c r="E7" s="20" t="n">
        <v>5</v>
      </c>
      <c r="F7" s="19" t="n"/>
      <c r="G7" s="19" t="n"/>
      <c r="H7" s="19" t="n"/>
      <c r="I7" s="19" t="n"/>
      <c r="J7" s="19" t="n"/>
      <c r="K7" s="19" t="n"/>
      <c r="L7" s="19" t="n"/>
      <c r="M7" s="19" t="n"/>
      <c r="N7" s="20" t="n">
        <v>5</v>
      </c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  <c r="X7" s="19" t="n"/>
      <c r="Y7" s="20" t="n">
        <v>2</v>
      </c>
      <c r="Z7" s="21" t="n">
        <v>4</v>
      </c>
    </row>
    <row r="8">
      <c r="A8" s="17" t="inlineStr">
        <is>
          <t>客户端B</t>
        </is>
      </c>
      <c r="B8" s="18" t="n">
        <v>10</v>
      </c>
      <c r="C8" s="19" t="n"/>
      <c r="D8" s="19" t="n"/>
      <c r="E8" s="19" t="n"/>
      <c r="F8" s="19" t="n"/>
      <c r="G8" s="19" t="n"/>
      <c r="H8" s="20" t="n">
        <v>2</v>
      </c>
      <c r="I8" s="19" t="n"/>
      <c r="J8" s="20" t="n">
        <v>2</v>
      </c>
      <c r="K8" s="20" t="n">
        <v>2</v>
      </c>
      <c r="L8" s="19" t="n"/>
      <c r="M8" s="19" t="n"/>
      <c r="N8" s="19" t="n"/>
      <c r="O8" s="19" t="n"/>
      <c r="P8" s="19" t="n"/>
      <c r="Q8" s="19" t="n"/>
      <c r="R8" s="19" t="n"/>
      <c r="S8" s="19" t="n"/>
      <c r="T8" s="19" t="n"/>
      <c r="U8" s="19" t="n"/>
      <c r="V8" s="19" t="n"/>
      <c r="W8" s="19" t="n"/>
      <c r="X8" s="19" t="n"/>
      <c r="Y8" s="20" t="n">
        <v>4</v>
      </c>
      <c r="Z8" s="22" t="n"/>
    </row>
    <row r="9">
      <c r="A9" s="17" t="inlineStr">
        <is>
          <t>系统策划</t>
        </is>
      </c>
      <c r="B9" s="18" t="n">
        <v>38.6</v>
      </c>
      <c r="C9" s="19" t="n"/>
      <c r="D9" s="19" t="n"/>
      <c r="E9" s="20" t="n">
        <v>1.5</v>
      </c>
      <c r="F9" s="20" t="n">
        <v>4.5</v>
      </c>
      <c r="G9" s="19" t="n"/>
      <c r="H9" s="20" t="n">
        <v>1.5</v>
      </c>
      <c r="I9" s="20" t="n">
        <v>3</v>
      </c>
      <c r="J9" s="20" t="n">
        <v>2.6</v>
      </c>
      <c r="K9" s="20" t="n">
        <v>1.1</v>
      </c>
      <c r="L9" s="20" t="n">
        <v>3.9</v>
      </c>
      <c r="M9" s="20" t="n">
        <v>2.8</v>
      </c>
      <c r="N9" s="20" t="n">
        <v>1.3</v>
      </c>
      <c r="O9" s="19" t="n"/>
      <c r="P9" s="19" t="n"/>
      <c r="Q9" s="19" t="n"/>
      <c r="R9" s="20" t="n">
        <v>2.4</v>
      </c>
      <c r="S9" s="20" t="n">
        <v>3.8</v>
      </c>
      <c r="T9" s="20" t="n">
        <v>3.8</v>
      </c>
      <c r="U9" s="20" t="n">
        <v>3.8</v>
      </c>
      <c r="V9" s="20" t="n">
        <v>2.6</v>
      </c>
      <c r="W9" s="19" t="n"/>
      <c r="X9" s="19" t="n"/>
      <c r="Y9" s="19" t="n"/>
      <c r="Z9" s="22" t="n"/>
    </row>
    <row r="10">
      <c r="A10" s="17" t="inlineStr">
        <is>
          <t>美术A</t>
        </is>
      </c>
      <c r="B10" s="18" t="n">
        <v>10</v>
      </c>
      <c r="C10" s="19" t="n"/>
      <c r="D10" s="19" t="n"/>
      <c r="E10" s="19" t="n"/>
      <c r="F10" s="20" t="n">
        <v>3</v>
      </c>
      <c r="G10" s="20" t="n">
        <v>3</v>
      </c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20" t="n">
        <v>2</v>
      </c>
      <c r="Z10" s="21" t="n">
        <v>2</v>
      </c>
    </row>
    <row r="11">
      <c r="A11" s="17" t="inlineStr">
        <is>
          <t>美术B</t>
        </is>
      </c>
      <c r="B11" s="18" t="n">
        <v>6</v>
      </c>
      <c r="C11" s="19" t="n"/>
      <c r="D11" s="19" t="n"/>
      <c r="E11" s="19" t="n"/>
      <c r="F11" s="19" t="n"/>
      <c r="G11" s="19" t="n"/>
      <c r="H11" s="19" t="n"/>
      <c r="I11" s="19" t="n"/>
      <c r="J11" s="20" t="n">
        <v>3</v>
      </c>
      <c r="K11" s="20" t="n">
        <v>3</v>
      </c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22" t="n"/>
    </row>
    <row r="12">
      <c r="A12" s="9" t="inlineStr">
        <is>
          <t>周合计</t>
        </is>
      </c>
      <c r="B12" s="9">
        <f>SUM(B2:B11)</f>
        <v/>
      </c>
      <c r="C12" s="9">
        <f>SUM(C2:C11)</f>
        <v/>
      </c>
      <c r="D12" s="9">
        <f>SUM(D2:D11)</f>
        <v/>
      </c>
      <c r="E12" s="9">
        <f>SUM(E2:E11)</f>
        <v/>
      </c>
      <c r="F12" s="9">
        <f>SUM(F2:F11)</f>
        <v/>
      </c>
      <c r="G12" s="9">
        <f>SUM(G2:G11)</f>
        <v/>
      </c>
      <c r="H12" s="9">
        <f>SUM(H2:H11)</f>
        <v/>
      </c>
      <c r="I12" s="9">
        <f>SUM(I2:I11)</f>
        <v/>
      </c>
      <c r="J12" s="9">
        <f>SUM(J2:J11)</f>
        <v/>
      </c>
      <c r="K12" s="9">
        <f>SUM(K2:K11)</f>
        <v/>
      </c>
      <c r="L12" s="9">
        <f>SUM(L2:L11)</f>
        <v/>
      </c>
      <c r="M12" s="9">
        <f>SUM(M2:M11)</f>
        <v/>
      </c>
      <c r="N12" s="9">
        <f>SUM(N2:N11)</f>
        <v/>
      </c>
      <c r="O12" s="9">
        <f>SUM(O2:O11)</f>
        <v/>
      </c>
      <c r="P12" s="9">
        <f>SUM(P2:P11)</f>
        <v/>
      </c>
      <c r="Q12" s="9">
        <f>SUM(Q2:Q11)</f>
        <v/>
      </c>
      <c r="R12" s="9">
        <f>SUM(R2:R11)</f>
        <v/>
      </c>
      <c r="S12" s="9">
        <f>SUM(S2:S11)</f>
        <v/>
      </c>
      <c r="T12" s="9">
        <f>SUM(T2:T11)</f>
        <v/>
      </c>
      <c r="U12" s="9">
        <f>SUM(U2:U11)</f>
        <v/>
      </c>
      <c r="V12" s="9">
        <f>SUM(V2:V11)</f>
        <v/>
      </c>
      <c r="W12" s="9">
        <f>SUM(W2:W11)</f>
        <v/>
      </c>
      <c r="X12" s="9">
        <f>SUM(X2:X11)</f>
        <v/>
      </c>
      <c r="Y12" s="9">
        <f>SUM(Y2:Y11)</f>
        <v/>
      </c>
      <c r="Z12" s="4">
        <f>SUM(Z2:Z11)</f>
        <v/>
      </c>
    </row>
    <row r="14">
      <c r="A14" s="23" t="inlineStr">
        <is>
          <t>红格 = 该角色当周投入超过 5 人日（单人上限）。“全组”任务（T05 缓冲、T12 发行缓冲）按团队共享处理，未计入单人。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2026-10-21T08:10:55Z</dcterms:created>
  <dcterms:modified xmlns:dcterms="http://purl.org/dc/terms/" xmlns:xsi="http://www.w3.org/2001/XMLSchema-instance" xsi:type="dcterms:W3CDTF">2026-10-21T08:10:56Z</dcterms:modified>
</cp:coreProperties>
</file>